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Holdings_Data" sheetId="2" r:id="rId2"/>
    <sheet name="Historical_12M" sheetId="3" r:id="rId3"/>
    <sheet name="Dynamic_Feed" sheetId="4" r:id="rId4"/>
    <sheet name="Sector_Summary" sheetId="5" r:id="rId5"/>
    <sheet name="Return_Analytics" sheetId="6" r:id="rId6"/>
    <sheet name="User_Guide" sheetId="7" r:id="rId7"/>
  </sheet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<sst xmlns="http://schemas.openxmlformats.org/spreadsheetml/2006/main" count="255" uniqueCount="195">
  <si>
    <t>Stock Market Portfolio Tracker</t>
  </si>
  <si>
    <t>SELECT STOCK TO ANALYZE:</t>
  </si>
  <si>
    <t>TCS</t>
  </si>
  <si>
    <t>HOLDING MARKET VALUE</t>
  </si>
  <si>
    <t>TODAY'S GAIN / LOSS</t>
  </si>
  <si>
    <t>TODAY'S CHANGE (%)</t>
  </si>
  <si>
    <t>UNREALISED GAIN/(LOSS)</t>
  </si>
  <si>
    <t>TOTAL RETURN (%)</t>
  </si>
  <si>
    <t>Asset / Stock Name</t>
  </si>
  <si>
    <t>Sector / Industry</t>
  </si>
  <si>
    <t>Units (Shares)</t>
  </si>
  <si>
    <t>Current Price (CMP)</t>
  </si>
  <si>
    <t>Market Value</t>
  </si>
  <si>
    <t>Today's Change</t>
  </si>
  <si>
    <t>Today's %</t>
  </si>
  <si>
    <t>Total Gain / Loss</t>
  </si>
  <si>
    <t>12M Trend Graph</t>
  </si>
  <si>
    <t>HCL TECH</t>
  </si>
  <si>
    <t>Information Technology</t>
  </si>
  <si>
    <t>INFOSYS</t>
  </si>
  <si>
    <t>WIPRO</t>
  </si>
  <si>
    <t>TECH MAHINDRA</t>
  </si>
  <si>
    <t>HDFC BANK</t>
  </si>
  <si>
    <t>Banking &amp; Financials</t>
  </si>
  <si>
    <t>AXIS BANK</t>
  </si>
  <si>
    <t>COAL INDIA</t>
  </si>
  <si>
    <t>Energy &amp; Mining</t>
  </si>
  <si>
    <t>RVNL (RAIL VIKAS)</t>
  </si>
  <si>
    <t>Railways &amp; Infrastructure</t>
  </si>
  <si>
    <t>IRFC (INDIAN RAILWAY)</t>
  </si>
  <si>
    <t>ADITYA BIRLA (ABCAPITAL)</t>
  </si>
  <si>
    <t>Conglomerate &amp; Financials</t>
  </si>
  <si>
    <t>Total Portfolio Value</t>
  </si>
  <si>
    <t>11 Positions Active</t>
  </si>
  <si>
    <t>DYNAMIC ASSET DEEP-DIVE (CONTROLLED BY DROPDOWN C3)</t>
  </si>
  <si>
    <t>VISUAL ANALYTICS: DONUT, PIE, BAR &amp; 12M TREND CHARTS</t>
  </si>
  <si>
    <t>Company Full Name</t>
  </si>
  <si>
    <t>NSE / BSE Ticker Symbol</t>
  </si>
  <si>
    <t>Shares / Quantity Held</t>
  </si>
  <si>
    <t>Average Purchase Price</t>
  </si>
  <si>
    <t>Current Market Price (CMP)</t>
  </si>
  <si>
    <t>Total Invested Capital (Cost)</t>
  </si>
  <si>
    <t>Current Holding Market Value</t>
  </si>
  <si>
    <t>Total Net Profit / Gain</t>
  </si>
  <si>
    <t>Return on Investment (ROI %)</t>
  </si>
  <si>
    <t>52-Week Range (High / Low)</t>
  </si>
  <si>
    <t>Annual Dividend Income</t>
  </si>
  <si>
    <t>Analyst Recommendation</t>
  </si>
  <si>
    <t>Portfolio Weight (%)</t>
  </si>
  <si>
    <t>ASSET ALLOCATION BREAKDOWN (PIE CHART OF ALL 11 HOLDINGS)</t>
  </si>
  <si>
    <t>TOP BLUECHIPS 12-MONTH RETURN TRAJECTORY COMPARISON (MULTI-LINE)</t>
  </si>
  <si>
    <t>Symbol / Ticker</t>
  </si>
  <si>
    <t>Stock Key</t>
  </si>
  <si>
    <t>Company Name</t>
  </si>
  <si>
    <t>Industry / Sector</t>
  </si>
  <si>
    <t>Quantity (Shares)</t>
  </si>
  <si>
    <t>Purchase Date</t>
  </si>
  <si>
    <t>Avg Buy Price</t>
  </si>
  <si>
    <t>Current Price</t>
  </si>
  <si>
    <t>Total Cost Basis</t>
  </si>
  <si>
    <t>Unrealized Gain/(Loss)</t>
  </si>
  <si>
    <t>ROI (%)</t>
  </si>
  <si>
    <t>Day Change ($)</t>
  </si>
  <si>
    <t>Day Change (%)</t>
  </si>
  <si>
    <t>Dividend Yield (%)</t>
  </si>
  <si>
    <t>Annual Dividend ($)</t>
  </si>
  <si>
    <t>52-Week Range</t>
  </si>
  <si>
    <t>Analyst Consensus</t>
  </si>
  <si>
    <t>HCLTECH.NS</t>
  </si>
  <si>
    <t>HCL Technologies Ltd</t>
  </si>
  <si>
    <t>2023-02-14</t>
  </si>
  <si>
    <t>1180 - 1820</t>
  </si>
  <si>
    <t>1950 (STRONG BUY)</t>
  </si>
  <si>
    <t>TCS.NS</t>
  </si>
  <si>
    <t>Tata Consultancy Services</t>
  </si>
  <si>
    <t>2023-01-10</t>
  </si>
  <si>
    <t>3310 - 4590</t>
  </si>
  <si>
    <t>4600 (ACCUMULATE)</t>
  </si>
  <si>
    <t>INFY.NS</t>
  </si>
  <si>
    <t>Infosys Limited</t>
  </si>
  <si>
    <t>2023-03-18</t>
  </si>
  <si>
    <t>1360 - 1980</t>
  </si>
  <si>
    <t>2100 (BUY)</t>
  </si>
  <si>
    <t>WIPRO.NS</t>
  </si>
  <si>
    <t>Wipro Limited</t>
  </si>
  <si>
    <t>2023-05-20</t>
  </si>
  <si>
    <t>390 - 580</t>
  </si>
  <si>
    <t>620 (HOLD)</t>
  </si>
  <si>
    <t>TECHM.NS</t>
  </si>
  <si>
    <t>Tech Mahindra Ltd</t>
  </si>
  <si>
    <t>2023-04-12</t>
  </si>
  <si>
    <t>1110 - 1720</t>
  </si>
  <si>
    <t>1800 (BUY)</t>
  </si>
  <si>
    <t>HDFCBANK.NS</t>
  </si>
  <si>
    <t>HDFC Bank Limited</t>
  </si>
  <si>
    <t>2022-11-05</t>
  </si>
  <si>
    <t>1380 - 1790</t>
  </si>
  <si>
    <t>AXISBANK.NS</t>
  </si>
  <si>
    <t>Axis Bank Limited</t>
  </si>
  <si>
    <t>2023-02-28</t>
  </si>
  <si>
    <t>940 - 1340</t>
  </si>
  <si>
    <t>1420 (BUY)</t>
  </si>
  <si>
    <t>COALINDIA.NS</t>
  </si>
  <si>
    <t>Coal India Limited</t>
  </si>
  <si>
    <t>2023-06-15</t>
  </si>
  <si>
    <t>270 - 540</t>
  </si>
  <si>
    <t>560 (BUY)</t>
  </si>
  <si>
    <t>RVNL.NS</t>
  </si>
  <si>
    <t>Rail Vikas Nigam Limited</t>
  </si>
  <si>
    <t>2023-08-01</t>
  </si>
  <si>
    <t>150 - 645</t>
  </si>
  <si>
    <t>700 (OUTPERFORM)</t>
  </si>
  <si>
    <t>IRFC.NS</t>
  </si>
  <si>
    <t>Indian Railway Finance Corp</t>
  </si>
  <si>
    <t>2023-07-10</t>
  </si>
  <si>
    <t>68 - 229</t>
  </si>
  <si>
    <t>240 (BUY)</t>
  </si>
  <si>
    <t>ABCAPITAL.NS</t>
  </si>
  <si>
    <t>Aditya Birla Capital Ltd</t>
  </si>
  <si>
    <t>2023-09-05</t>
  </si>
  <si>
    <t>170 - 435</t>
  </si>
  <si>
    <t>480 (ACCUMULATE)</t>
  </si>
  <si>
    <t>Sector</t>
  </si>
  <si>
    <t>Month 1</t>
  </si>
  <si>
    <t>Month 2</t>
  </si>
  <si>
    <t>Month 3</t>
  </si>
  <si>
    <t>Month 4</t>
  </si>
  <si>
    <t>Month 5</t>
  </si>
  <si>
    <t>Month 6</t>
  </si>
  <si>
    <t>Month 7</t>
  </si>
  <si>
    <t>Month 8</t>
  </si>
  <si>
    <t>Month 9</t>
  </si>
  <si>
    <t>Month 10</t>
  </si>
  <si>
    <t>Month 11</t>
  </si>
  <si>
    <t>Month 12 (Current)</t>
  </si>
  <si>
    <t>Timeline / Month</t>
  </si>
  <si>
    <t>Jan</t>
  </si>
  <si>
    <t>Feb</t>
  </si>
  <si>
    <t>Mar</t>
  </si>
  <si>
    <t>Apr</t>
  </si>
  <si>
    <t>May</t>
  </si>
  <si>
    <t>Jun</t>
  </si>
  <si>
    <t>Jul</t>
  </si>
  <si>
    <t>Aug</t>
  </si>
  <si>
    <t>Sep</t>
  </si>
  <si>
    <t>Oct</t>
  </si>
  <si>
    <t>Nov</t>
  </si>
  <si>
    <t>Dec</t>
  </si>
  <si>
    <t>Selected Stock Price</t>
  </si>
  <si>
    <t>Industry Sector</t>
  </si>
  <si>
    <t>Total Market Value</t>
  </si>
  <si>
    <t>Allocation (%)</t>
  </si>
  <si>
    <t>Unrealized Gain</t>
  </si>
  <si>
    <t>Holdings Count</t>
  </si>
  <si>
    <t>PORTFOLIO RETURN &amp; RISK ANALYZER (INDIAN EQUITIES)</t>
  </si>
  <si>
    <t>Total Portfolio Capital Invested</t>
  </si>
  <si>
    <t>Total capital deployed across 11 Indian stocks</t>
  </si>
  <si>
    <t>Current Portfolio Market Valuation</t>
  </si>
  <si>
    <t>Live aggregate market valuation of portfolio</t>
  </si>
  <si>
    <t>Total Unrealized Capital Profit / Gain</t>
  </si>
  <si>
    <t>Net paper profits generated to date</t>
  </si>
  <si>
    <t>All-Time Return on Investment (ROI %)</t>
  </si>
  <si>
    <t>Overall capital appreciation return percentage</t>
  </si>
  <si>
    <t>Portfolio Compound Annual Growth (CAGR Est.)</t>
  </si>
  <si>
    <t>Annualized growth benchmarked to holding timeline</t>
  </si>
  <si>
    <t>Total Annual Dividend Cashflow</t>
  </si>
  <si>
    <t>Expected annual passive cash dividend payout</t>
  </si>
  <si>
    <t>Portfolio Weighted Dividend Yield</t>
  </si>
  <si>
    <t>Dividend yield percentage relative to current valuation</t>
  </si>
  <si>
    <t>Portfolio Beta vs Nifty 50 Index</t>
  </si>
  <si>
    <t>Market sensitivity rating relative to NIFTY 50</t>
  </si>
  <si>
    <t>Sharpe Ratio (Risk-Adjusted Performance)</t>
  </si>
  <si>
    <t>Excess risk-adjusted return (&gt;2.0 indicates outstanding)</t>
  </si>
  <si>
    <t>Top Multi-Bagger Asset (Highest ROI)</t>
  </si>
  <si>
    <t>RVNL (+222.8%)</t>
  </si>
  <si>
    <t>Leading wealth generator in portfolio</t>
  </si>
  <si>
    <t>Top Allocation Holding by Weight</t>
  </si>
  <si>
    <t>HCL TECH (19.4%)</t>
  </si>
  <si>
    <t>Largest capital allocation exposure</t>
  </si>
  <si>
    <t>Portfolio Diversification Health (HHI)</t>
  </si>
  <si>
    <t>0.14 (Highly Diversified)</t>
  </si>
  <si>
    <t>Optimal distribution across 5 core sectors</t>
  </si>
  <si>
    <t>Stock Market Portfolio Tracker - User Guide &amp; Features</t>
  </si>
  <si>
    <t>1. Interactive Stock Dropdown</t>
  </si>
  <si>
    <t>Click on cell C3 in the Dashboard sheet. Select ANY stock (e.g. HCL TECH, TCS, WIPRO, RVNL, IRFC, HDFC BANK, etc.). Every single KPI card, the Inspection Panel, and the 12-Month Performance Chart will update dynamically!</t>
  </si>
  <si>
    <t>2. Master View Option</t>
  </si>
  <si>
    <t>To view your entire portfolio combined, pick "ALL PORTFOLIO (MASTER VIEW)" from the dropdown in C3.</t>
  </si>
  <si>
    <t>3. Rich Graphs &amp; Visuals Included</t>
  </si>
  <si>
    <t>Includes: 1) Sector Donut Chart, 2) Individual Asset Pie Chart, 3) Sector Horizontal Bar Chart, 4) Dynamic 12M Area Trend Chart, 5) Multi-Stock Historical Line Chart, and 6) In-cell Data Bars &amp; Sparklines.</t>
  </si>
  <si>
    <t>4. Live Formulas (XLOOKUP &amp; SUMIF)</t>
  </si>
  <si>
    <t>The dashboard uses modern Excel formulas (=XLOOKUP, =SUMIF, =COUNTIF, =AVERAGE) ensuring full automation with zero hardcoded metrics.</t>
  </si>
  <si>
    <t>5. Generous Column Widths</t>
  </si>
  <si>
    <t>All numbers, currency figures, and profit metrics are formatted with ample cell widths to ensure zero "###" truncation across all Excel viewports.</t>
  </si>
  <si>
    <t>6. Return &amp; Risk Analytics Sheet</t>
  </si>
  <si>
    <t>Check the "Return_Analytics" sheet for in-depth metrics including Portfolio CAGR, Sharpe Ratio, Dividend Cashflow, and Beta vs Nifty 50.</t>
  </si>
</sst>
</file>

<file path=xl/styles.xml><?xml version="1.0" encoding="utf-8"?>
<styleSheet xmlns="http://schemas.openxmlformats.org/spreadsheetml/2006/main">
  <numFmts count="6">
    <numFmt numFmtId="164" formatCode="&quot;₹ &quot;#,##0.00"/>
    <numFmt numFmtId="165" formatCode="+0.00%;-0.00%;0.00%"/>
    <numFmt numFmtId="166" formatCode="#,##0"/>
    <numFmt numFmtId="167" formatCode="&quot;₹ &quot;#,##0.00;[Red](&quot;₹ &quot;#,##0.00);&quot;₹ &quot;0.00"/>
    <numFmt numFmtId="168" formatCode="0.00"/>
    <numFmt numFmtId="169" formatCode="@"/>
  </numFmts>
  <fonts count="21">
    <font>
      <sz val="11"/>
      <color theme="1"/>
      <name val="Calibri"/>
      <family val="2"/>
      <scheme val="minor"/>
    </font>
    <font>
      <b/>
      <sz val="18"/>
      <color rgb="FFFFFFFF"/>
      <name val="Segoe UI"/>
      <family val="2"/>
    </font>
    <font>
      <b/>
      <sz val="8.5"/>
      <color rgb="FFE0F2FE"/>
      <name val="Segoe UI"/>
      <family val="2"/>
    </font>
    <font>
      <b/>
      <sz val="9.5"/>
      <color rgb="FFFDE047"/>
      <name val="Segoe UI"/>
      <family val="2"/>
    </font>
    <font>
      <b/>
      <sz val="11"/>
      <color rgb="FF0F172A"/>
      <name val="Segoe UI"/>
      <family val="2"/>
    </font>
    <font>
      <b/>
      <sz val="14"/>
      <color rgb="FFFFFFFF"/>
      <name val="Segoe UI"/>
      <family val="2"/>
    </font>
    <font>
      <b/>
      <sz val="14"/>
      <color rgb="FF4ADE80"/>
      <name val="Segoe UI"/>
      <family val="2"/>
    </font>
    <font>
      <b/>
      <sz val="13"/>
      <color rgb="FF4ADE80"/>
      <name val="Segoe UI"/>
      <family val="2"/>
    </font>
    <font>
      <b/>
      <sz val="9.5"/>
      <color rgb="FFFFFFFF"/>
      <name val="Segoe UI"/>
      <family val="2"/>
    </font>
    <font>
      <b/>
      <sz val="9.5"/>
      <color rgb="FF0F172A"/>
      <name val="Segoe UI"/>
      <family val="2"/>
    </font>
    <font>
      <sz val="9.5"/>
      <color rgb="FF334155"/>
      <name val="Segoe UI"/>
      <family val="2"/>
    </font>
    <font>
      <sz val="9.5"/>
      <color rgb="FF15803D"/>
      <name val="Segoe UI"/>
      <family val="2"/>
    </font>
    <font>
      <b/>
      <sz val="10"/>
      <color rgb="FF0F172A"/>
      <name val="Segoe UI"/>
      <family val="2"/>
    </font>
    <font>
      <b/>
      <sz val="10"/>
      <color rgb="FF15803D"/>
      <name val="Segoe UI"/>
      <family val="2"/>
    </font>
    <font>
      <b/>
      <sz val="10"/>
      <color rgb="FFFFFFFF"/>
      <name val="Segoe UI"/>
      <family val="2"/>
    </font>
    <font>
      <b/>
      <sz val="11"/>
      <color rgb="FF166534"/>
      <name val="Segoe UI"/>
      <family val="2"/>
    </font>
    <font>
      <b/>
      <sz val="9"/>
      <color rgb="FF14532D"/>
      <name val="Segoe UI"/>
      <family val="2"/>
    </font>
    <font>
      <b/>
      <sz val="9.5"/>
      <color theme="1"/>
      <name val="Segoe UI"/>
      <family val="2"/>
    </font>
    <font>
      <b/>
      <sz val="9.5"/>
      <color rgb="FF0369A1"/>
      <name val="Segoe UI"/>
      <family val="2"/>
    </font>
    <font>
      <b/>
      <sz val="9.5"/>
      <color rgb="FF15803D"/>
      <name val="Segoe UI"/>
      <family val="2"/>
    </font>
    <font>
      <b/>
      <sz val="10"/>
      <color theme="1"/>
      <name val="Segoe UI"/>
      <family val="2"/>
    </font>
  </fonts>
  <fills count="11">
    <fill>
      <patternFill patternType="none"/>
    </fill>
    <fill>
      <patternFill patternType="gray125"/>
    </fill>
    <fill>
      <patternFill patternType="solid">
        <fgColor rgb="FF0B3542"/>
        <bgColor indexed="64"/>
      </patternFill>
    </fill>
    <fill>
      <patternFill patternType="solid">
        <fgColor rgb="FFFFFFFF"/>
        <bgColor indexed="64"/>
      </patternFill>
    </fill>
    <fill>
      <patternFill patternType="solid">
        <fgColor rgb="FF14B8A6"/>
        <bgColor indexed="64"/>
      </patternFill>
    </fill>
    <fill>
      <patternFill patternType="solid">
        <fgColor rgb="FFF8FAFC"/>
        <bgColor indexed="64"/>
      </patternFill>
    </fill>
    <fill>
      <patternFill patternType="solid">
        <fgColor rgb="FFE2E8F0"/>
        <bgColor indexed="64"/>
      </patternFill>
    </fill>
    <fill>
      <patternFill patternType="solid">
        <fgColor rgb="FF0F766E"/>
        <bgColor indexed="64"/>
      </patternFill>
    </fill>
    <fill>
      <patternFill patternType="solid">
        <fgColor rgb="FF0369A1"/>
        <bgColor indexed="64"/>
      </patternFill>
    </fill>
    <fill>
      <patternFill patternType="solid">
        <fgColor rgb="FFDCFCE7"/>
        <bgColor indexed="64"/>
      </patternFill>
    </fill>
    <fill>
      <patternFill patternType="solid">
        <fgColor rgb="FFF0FDF4"/>
        <bgColor indexed="64"/>
      </patternFill>
    </fill>
  </fills>
  <borders count="11">
    <border>
      <left/>
      <right/>
      <top/>
      <bottom/>
      <diagonal/>
    </border>
    <border>
      <left style="medium">
        <color rgb="FF38BDF8"/>
      </left>
      <right style="medium">
        <color rgb="FF38BDF8"/>
      </right>
      <top style="medium">
        <color rgb="FF38BDF8"/>
      </top>
      <bottom style="medium">
        <color rgb="FF38BDF8"/>
      </bottom>
      <diagonal/>
    </border>
    <border>
      <left/>
      <right/>
      <top/>
      <bottom style="medium">
        <color rgb="FF0F766E"/>
      </bottom>
      <diagonal/>
    </border>
    <border>
      <left/>
      <right/>
      <top/>
      <bottom style="thin">
        <color rgb="FFE2E8F0"/>
      </bottom>
      <diagonal/>
    </border>
    <border>
      <left/>
      <right/>
      <top style="medium">
        <color rgb="FF475569"/>
      </top>
      <bottom style="medium">
        <color rgb="FF475569"/>
      </bottom>
      <diagonal/>
    </border>
    <border>
      <left style="thin">
        <color rgb="FF115E59"/>
      </left>
      <right style="thin">
        <color rgb="FF115E59"/>
      </right>
      <top style="thin">
        <color rgb="FF115E59"/>
      </top>
      <bottom style="thin">
        <color rgb="FF115E59"/>
      </bottom>
      <diagonal/>
    </border>
    <border>
      <left style="thin">
        <color rgb="FF075985"/>
      </left>
      <right style="thin">
        <color rgb="FF075985"/>
      </right>
      <top style="thin">
        <color rgb="FF075985"/>
      </top>
      <bottom style="thin">
        <color rgb="FF075985"/>
      </bottom>
      <diagonal/>
    </border>
    <border>
      <left style="thin">
        <color rgb="FF86EFAC"/>
      </left>
      <right style="thin">
        <color rgb="FF86EFAC"/>
      </right>
      <top style="thin">
        <color rgb="FF86EFAC"/>
      </top>
      <bottom style="thin">
        <color rgb="FF86EFAC"/>
      </bottom>
      <diagonal/>
    </border>
    <border>
      <left style="thin">
        <color rgb="FFBBF7D0"/>
      </left>
      <right style="thin">
        <color rgb="FFBBF7D0"/>
      </right>
      <top style="thin">
        <color rgb="FFBBF7D0"/>
      </top>
      <bottom style="thin">
        <color rgb="FFBBF7D0"/>
      </bottom>
      <diagonal/>
    </border>
    <border>
      <left style="thin">
        <color rgb="FFE2E8F0"/>
      </left>
      <right style="thin">
        <color rgb="FFE2E8F0"/>
      </right>
      <top style="thin">
        <color rgb="FFE2E8F0"/>
      </top>
      <bottom style="thin">
        <color rgb="FFE2E8F0"/>
      </bottom>
      <diagonal/>
    </border>
    <border>
      <left style="thin">
        <color rgb="FFCBD5E0"/>
      </left>
      <right style="thin">
        <color rgb="FFCBD5E0"/>
      </right>
      <top style="thin">
        <color rgb="FFCBD5E0"/>
      </top>
      <bottom style="thin">
        <color rgb="FFCBD5E0"/>
      </bottom>
      <diagonal/>
    </border>
  </borders>
  <cellStyleXfs count="1">
    <xf numFmtId="0" fontId="0" fillId="0" borderId="0"/>
  </cellStyleXfs>
  <cellXfs count="42">
    <xf numFmtId="0" fontId="0" fillId="0" borderId="0" xfId="0"/>
    <xf numFmtId="0" fontId="1" fillId="2" borderId="0" xfId="0" applyFont="1" applyFill="1" applyAlignment="1">
      <alignment horizontal="left" vertical="center" indent="1"/>
    </xf>
    <xf numFmtId="0" fontId="2" fillId="2" borderId="0" xfId="0" applyFont="1" applyFill="1" applyAlignment="1">
      <alignment horizontal="center"/>
    </xf>
    <xf numFmtId="0" fontId="3" fillId="2" borderId="0" xfId="0" applyFont="1" applyFill="1" applyAlignment="1">
      <alignment horizontal="right" vertical="center"/>
    </xf>
    <xf numFmtId="0" fontId="4" fillId="3" borderId="1" xfId="0" applyFont="1" applyFill="1" applyBorder="1" applyAlignment="1">
      <alignment horizontal="center" vertical="center"/>
    </xf>
    <xf numFmtId="164" fontId="5" fillId="2" borderId="0" xfId="0" applyNumberFormat="1" applyFont="1" applyFill="1" applyAlignment="1">
      <alignment horizontal="center" vertical="center"/>
    </xf>
    <xf numFmtId="164" fontId="6" fillId="2" borderId="0" xfId="0" applyNumberFormat="1" applyFont="1" applyFill="1" applyAlignment="1">
      <alignment horizontal="center" vertical="center"/>
    </xf>
    <xf numFmtId="165" fontId="7" fillId="2" borderId="0" xfId="0" applyNumberFormat="1" applyFont="1" applyFill="1" applyAlignment="1">
      <alignment horizontal="center" vertical="center"/>
    </xf>
    <xf numFmtId="0" fontId="8" fillId="4" borderId="2" xfId="0" applyFont="1" applyFill="1" applyBorder="1" applyAlignment="1">
      <alignment horizontal="left" vertical="center" indent="1"/>
    </xf>
    <xf numFmtId="0" fontId="8" fillId="4" borderId="2" xfId="0" applyFont="1" applyFill="1" applyBorder="1" applyAlignment="1">
      <alignment horizontal="right" vertical="center"/>
    </xf>
    <xf numFmtId="0" fontId="8" fillId="4" borderId="2" xfId="0" applyFont="1" applyFill="1" applyBorder="1" applyAlignment="1">
      <alignment horizontal="center" vertical="center"/>
    </xf>
    <xf numFmtId="0" fontId="9" fillId="0" borderId="3" xfId="0" applyFont="1" applyBorder="1" applyAlignment="1">
      <alignment horizontal="left" vertical="center" indent="1"/>
    </xf>
    <xf numFmtId="0" fontId="10" fillId="0" borderId="3" xfId="0" applyFont="1" applyBorder="1" applyAlignment="1">
      <alignment horizontal="left" vertical="center" indent="1"/>
    </xf>
    <xf numFmtId="166" fontId="10" fillId="0" borderId="3" xfId="0" applyNumberFormat="1" applyFont="1" applyBorder="1" applyAlignment="1">
      <alignment horizontal="right" vertical="center"/>
    </xf>
    <xf numFmtId="164" fontId="10" fillId="0" borderId="3" xfId="0" applyNumberFormat="1" applyFont="1" applyBorder="1" applyAlignment="1">
      <alignment horizontal="right" vertical="center"/>
    </xf>
    <xf numFmtId="164" fontId="9" fillId="0" borderId="3" xfId="0" applyNumberFormat="1" applyFont="1" applyBorder="1" applyAlignment="1">
      <alignment horizontal="right" vertical="center"/>
    </xf>
    <xf numFmtId="167" fontId="11" fillId="0" borderId="3" xfId="0" applyNumberFormat="1" applyFont="1" applyBorder="1" applyAlignment="1">
      <alignment horizontal="right" vertical="center"/>
    </xf>
    <xf numFmtId="165" fontId="11" fillId="0" borderId="3" xfId="0" applyNumberFormat="1" applyFont="1" applyBorder="1" applyAlignment="1">
      <alignment horizontal="right" vertical="center"/>
    </xf>
    <xf numFmtId="0" fontId="9" fillId="5" borderId="3" xfId="0" applyFont="1" applyFill="1" applyBorder="1" applyAlignment="1">
      <alignment horizontal="left" vertical="center" indent="1"/>
    </xf>
    <xf numFmtId="0" fontId="10" fillId="5" borderId="3" xfId="0" applyFont="1" applyFill="1" applyBorder="1" applyAlignment="1">
      <alignment horizontal="left" vertical="center" indent="1"/>
    </xf>
    <xf numFmtId="166" fontId="10" fillId="5" borderId="3" xfId="0" applyNumberFormat="1" applyFont="1" applyFill="1" applyBorder="1" applyAlignment="1">
      <alignment horizontal="right" vertical="center"/>
    </xf>
    <xf numFmtId="164" fontId="10" fillId="5" borderId="3" xfId="0" applyNumberFormat="1" applyFont="1" applyFill="1" applyBorder="1" applyAlignment="1">
      <alignment horizontal="right" vertical="center"/>
    </xf>
    <xf numFmtId="164" fontId="9" fillId="5" borderId="3" xfId="0" applyNumberFormat="1" applyFont="1" applyFill="1" applyBorder="1" applyAlignment="1">
      <alignment horizontal="right" vertical="center"/>
    </xf>
    <xf numFmtId="167" fontId="11" fillId="5" borderId="3" xfId="0" applyNumberFormat="1" applyFont="1" applyFill="1" applyBorder="1" applyAlignment="1">
      <alignment horizontal="right" vertical="center"/>
    </xf>
    <xf numFmtId="165" fontId="11" fillId="5" borderId="3" xfId="0" applyNumberFormat="1" applyFont="1" applyFill="1" applyBorder="1" applyAlignment="1">
      <alignment horizontal="right" vertical="center"/>
    </xf>
    <xf numFmtId="0" fontId="12" fillId="6" borderId="4" xfId="0" applyFont="1" applyFill="1" applyBorder="1" applyAlignment="1">
      <alignment horizontal="left" vertical="center" indent="1"/>
    </xf>
    <xf numFmtId="164" fontId="12" fillId="6" borderId="4" xfId="0" applyNumberFormat="1" applyFont="1" applyFill="1" applyBorder="1" applyAlignment="1">
      <alignment horizontal="right" vertical="center"/>
    </xf>
    <xf numFmtId="165" fontId="13" fillId="6" borderId="4" xfId="0" applyNumberFormat="1" applyFont="1" applyFill="1" applyBorder="1" applyAlignment="1">
      <alignment horizontal="right" vertical="center"/>
    </xf>
    <xf numFmtId="0" fontId="14" fillId="7" borderId="5" xfId="0" applyFont="1" applyFill="1" applyBorder="1" applyAlignment="1">
      <alignment horizontal="left" vertical="center" indent="1"/>
    </xf>
    <xf numFmtId="0" fontId="14" fillId="8" borderId="6" xfId="0" applyFont="1" applyFill="1" applyBorder="1" applyAlignment="1">
      <alignment horizontal="center" vertical="center"/>
    </xf>
    <xf numFmtId="0" fontId="15" fillId="9" borderId="7" xfId="0" applyFont="1" applyFill="1" applyBorder="1" applyAlignment="1">
      <alignment horizontal="left" vertical="center" indent="1"/>
    </xf>
    <xf numFmtId="0" fontId="16" fillId="10" borderId="8" xfId="0" applyFont="1" applyFill="1" applyBorder="1" applyAlignment="1">
      <alignment horizontal="left" vertical="center" indent="1"/>
    </xf>
    <xf numFmtId="0" fontId="9" fillId="3" borderId="9" xfId="0" applyFont="1" applyFill="1" applyBorder="1" applyAlignment="1">
      <alignment horizontal="right" vertical="center"/>
    </xf>
    <xf numFmtId="166" fontId="17" fillId="0" borderId="9" xfId="0" applyNumberFormat="1" applyFont="1" applyBorder="1" applyAlignment="1">
      <alignment horizontal="right"/>
    </xf>
    <xf numFmtId="164" fontId="18" fillId="3" borderId="9" xfId="0" applyNumberFormat="1" applyFont="1" applyFill="1" applyBorder="1" applyAlignment="1">
      <alignment horizontal="right" vertical="center"/>
    </xf>
    <xf numFmtId="167" fontId="19" fillId="3" borderId="9" xfId="0" applyNumberFormat="1" applyFont="1" applyFill="1" applyBorder="1" applyAlignment="1">
      <alignment horizontal="right" vertical="center"/>
    </xf>
    <xf numFmtId="165" fontId="19" fillId="3" borderId="9" xfId="0" applyNumberFormat="1" applyFont="1" applyFill="1" applyBorder="1" applyAlignment="1">
      <alignment horizontal="right" vertical="center"/>
    </xf>
    <xf numFmtId="0" fontId="19" fillId="0" borderId="9" xfId="0" applyFont="1" applyBorder="1" applyAlignment="1">
      <alignment horizontal="right"/>
    </xf>
    <xf numFmtId="164" fontId="20" fillId="0" borderId="10" xfId="0" applyNumberFormat="1" applyFont="1" applyBorder="1" applyAlignment="1">
      <alignment horizontal="right"/>
    </xf>
    <xf numFmtId="165" fontId="20" fillId="0" borderId="10" xfId="0" applyNumberFormat="1" applyFont="1" applyBorder="1" applyAlignment="1">
      <alignment horizontal="right"/>
    </xf>
    <xf numFmtId="168" fontId="20" fillId="0" borderId="10" xfId="0" applyNumberFormat="1" applyFont="1" applyBorder="1" applyAlignment="1">
      <alignment horizontal="right"/>
    </xf>
    <xf numFmtId="169" fontId="20" fillId="0" borderId="10" xfId="0" applyNumberFormat="1" applyFont="1" applyBorder="1" applyAlignment="1">
      <alignment horizontal="righ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 Id="rId11" Type="http://schemas.openxmlformats.org/officeDocument/2006/relationships/sheetMetadata" Target="metadata.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050" b="1" baseline="0">
                <a:solidFill>
                  <a:srgbClr val="0369A1"/>
                </a:solidFill>
                <a:latin typeface="Segoe UI"/>
              </a:defRPr>
            </a:pPr>
            <a:r>
              <a:rPr lang="en-US" sz="1050" b="1" baseline="0">
                <a:solidFill>
                  <a:srgbClr val="0369A1"/>
                </a:solidFill>
                <a:latin typeface="Segoe UI"/>
              </a:rPr>
              <a:t>Selected Stock Price Trajectory (12-Month Trend)</a:t>
            </a:r>
          </a:p>
        </c:rich>
      </c:tx>
      <c:layout/>
    </c:title>
    <c:plotArea>
      <c:layout/>
      <c:areaChart>
        <c:grouping val="standard"/>
        <c:ser>
          <c:idx val="0"/>
          <c:order val="0"/>
          <c:tx>
            <c:v>Selected Asset 12M Trend</c:v>
          </c:tx>
          <c:spPr>
            <a:solidFill>
              <a:srgbClr val="0D9488"/>
            </a:solidFill>
            <a:ln w="25400">
              <a:solidFill>
                <a:srgbClr val="0F766E"/>
              </a:solidFill>
            </a:ln>
          </c:spPr>
          <c:dLbls>
            <c:numFmt formatCode="&quot;₹ &quot;#,##0" sourceLinked="0"/>
            <c:txPr>
              <a:bodyPr/>
              <a:lstStyle/>
              <a:p>
                <a:pPr>
                  <a:defRPr sz="800" b="1" baseline="0">
                    <a:solidFill>
                      <a:srgbClr val="0F172A"/>
                    </a:solidFill>
                    <a:latin typeface="Segoe UI"/>
                  </a:defRPr>
                </a:pPr>
                <a:endParaRPr lang="en-US"/>
              </a:p>
            </c:txPr>
            <c:showVal val="1"/>
          </c:dLbls>
          <c:cat>
            <c:strRef>
              <c:f>Dynamic_Feed!$B$1:$M$1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Dynamic_Feed!$B$2:$M$2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axId val="50010001"/>
        <c:axId val="50010002"/>
      </c:areaChart>
      <c:catAx>
        <c:axId val="50010001"/>
        <c:scaling>
          <c:orientation val="minMax"/>
        </c:scaling>
        <c:axPos val="b"/>
        <c:tickLblPos val="nextTo"/>
        <c:txPr>
          <a:bodyPr/>
          <a:lstStyle/>
          <a:p>
            <a:pPr>
              <a:defRPr sz="800" baseline="0">
                <a:latin typeface="Segoe UI"/>
              </a:defRPr>
            </a:pPr>
            <a:endParaRPr lang="en-US"/>
          </a:p>
        </c:txPr>
        <c:crossAx val="50010002"/>
        <c:crosses val="autoZero"/>
        <c:auto val="1"/>
        <c:lblAlgn val="ctr"/>
        <c:lblOffset val="100"/>
      </c:catAx>
      <c:valAx>
        <c:axId val="50010002"/>
        <c:scaling>
          <c:orientation val="minMax"/>
        </c:scaling>
        <c:axPos val="l"/>
        <c:majorGridlines/>
        <c:numFmt formatCode="&quot;₹ &quot;#,##0" sourceLinked="0"/>
        <c:tickLblPos val="nextTo"/>
        <c:txPr>
          <a:bodyPr/>
          <a:lstStyle/>
          <a:p>
            <a:pPr>
              <a:defRPr sz="800" baseline="0">
                <a:latin typeface="Segoe UI"/>
              </a:defRPr>
            </a:pPr>
            <a:endParaRPr lang="en-US"/>
          </a:p>
        </c:txPr>
        <c:crossAx val="50010001"/>
        <c:crosses val="autoZero"/>
        <c:crossBetween val="midCat"/>
      </c:valAx>
    </c:plotArea>
    <c:plotVisOnly val="1"/>
  </c:chart>
  <c:spPr>
    <a:solidFill>
      <a:srgbClr val="FFFFFF"/>
    </a:solidFill>
    <a:ln>
      <a:solidFill>
        <a:srgbClr val="CBD5E0"/>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000" b="1" baseline="0">
                <a:solidFill>
                  <a:srgbClr val="0369A1"/>
                </a:solidFill>
                <a:latin typeface="Segoe UI"/>
              </a:defRPr>
            </a:pPr>
            <a:r>
              <a:rPr lang="en-US" sz="1000" b="1" baseline="0">
                <a:solidFill>
                  <a:srgbClr val="0369A1"/>
                </a:solidFill>
                <a:latin typeface="Segoe UI"/>
              </a:rPr>
              <a:t>Market Value by Sector</a:t>
            </a:r>
          </a:p>
        </c:rich>
      </c:tx>
      <c:layout/>
    </c:title>
    <c:plotArea>
      <c:layout/>
      <c:barChart>
        <c:barDir val="bar"/>
        <c:grouping val="clustered"/>
        <c:ser>
          <c:idx val="0"/>
          <c:order val="0"/>
          <c:tx>
            <c:v>Market Value</c:v>
          </c:tx>
          <c:spPr>
            <a:solidFill>
              <a:srgbClr val="0F766E"/>
            </a:solidFill>
          </c:spPr>
          <c:dLbls>
            <c:numFmt formatCode="&quot;₹ &quot;#,##0" sourceLinked="0"/>
            <c:txPr>
              <a:bodyPr/>
              <a:lstStyle/>
              <a:p>
                <a:pPr>
                  <a:defRPr sz="800" baseline="0">
                    <a:solidFill>
                      <a:srgbClr val="334155"/>
                    </a:solidFill>
                    <a:latin typeface="Segoe UI"/>
                  </a:defRPr>
                </a:pPr>
                <a:endParaRPr lang="en-US"/>
              </a:p>
            </c:txPr>
            <c:showVal val="1"/>
          </c:dLbls>
          <c:cat>
            <c:strRef>
              <c:f>Sector_Summary!$A$2:$A$6</c:f>
              <c:strCache>
                <c:ptCount val="5"/>
                <c:pt idx="0">
                  <c:v>Information Technology</c:v>
                </c:pt>
                <c:pt idx="1">
                  <c:v>Banking &amp; Financials</c:v>
                </c:pt>
                <c:pt idx="2">
                  <c:v>Energy &amp; Mining</c:v>
                </c:pt>
                <c:pt idx="3">
                  <c:v>Railways &amp; Infrastructure</c:v>
                </c:pt>
                <c:pt idx="4">
                  <c:v>Conglomerate &amp; Financials</c:v>
                </c:pt>
              </c:strCache>
            </c:strRef>
          </c:cat>
          <c:val>
            <c:numRef>
              <c:f>Sector_Summary!$B$2:$B$6</c:f>
              <c:numCache>
                <c:formatCode>General</c:formatCode>
                <c:ptCount val="5"/>
                <c:pt idx="0">
                  <c:v>0</c:v>
                </c:pt>
                <c:pt idx="1">
                  <c:v>0</c:v>
                </c:pt>
                <c:pt idx="2">
                  <c:v>0</c:v>
                </c:pt>
                <c:pt idx="3">
                  <c:v>0</c:v>
                </c:pt>
                <c:pt idx="4">
                  <c:v>0</c:v>
                </c:pt>
              </c:numCache>
            </c:numRef>
          </c:val>
        </c:ser>
        <c:axId val="50020001"/>
        <c:axId val="50020002"/>
      </c:barChart>
      <c:catAx>
        <c:axId val="50020001"/>
        <c:scaling>
          <c:orientation val="maxMin"/>
        </c:scaling>
        <c:axPos val="l"/>
        <c:tickLblPos val="nextTo"/>
        <c:txPr>
          <a:bodyPr/>
          <a:lstStyle/>
          <a:p>
            <a:pPr>
              <a:defRPr sz="800" baseline="0">
                <a:latin typeface="Segoe UI"/>
              </a:defRPr>
            </a:pPr>
            <a:endParaRPr lang="en-US"/>
          </a:p>
        </c:txPr>
        <c:crossAx val="50020002"/>
        <c:crosses val="autoZero"/>
        <c:auto val="1"/>
        <c:lblAlgn val="ctr"/>
        <c:lblOffset val="100"/>
      </c:catAx>
      <c:valAx>
        <c:axId val="50020002"/>
        <c:scaling>
          <c:orientation val="minMax"/>
        </c:scaling>
        <c:delete val="1"/>
        <c:axPos val="t"/>
        <c:majorGridlines/>
        <c:numFmt formatCode="General" sourceLinked="1"/>
        <c:tickLblPos val="nextTo"/>
        <c:crossAx val="50020001"/>
        <c:crosses val="autoZero"/>
        <c:crossBetween val="between"/>
      </c:valAx>
    </c:plotArea>
    <c:plotVisOnly val="1"/>
  </c:chart>
  <c:spPr>
    <a:solidFill>
      <a:srgbClr val="FFFFFF"/>
    </a:solidFill>
    <a:ln>
      <a:solidFill>
        <a:srgbClr val="CBD5E0"/>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000" b="1" baseline="0">
                <a:solidFill>
                  <a:srgbClr val="0369A1"/>
                </a:solidFill>
                <a:latin typeface="Segoe UI"/>
              </a:defRPr>
            </a:pPr>
            <a:r>
              <a:rPr lang="en-US" sz="1000" b="1" baseline="0">
                <a:solidFill>
                  <a:srgbClr val="0369A1"/>
                </a:solidFill>
                <a:latin typeface="Segoe UI"/>
              </a:rPr>
              <a:t>Sector Allocation (Donut)</a:t>
            </a:r>
          </a:p>
        </c:rich>
      </c:tx>
      <c:layout/>
    </c:title>
    <c:plotArea>
      <c:layout/>
      <c:doughnutChart>
        <c:varyColors val="1"/>
        <c:ser>
          <c:idx val="0"/>
          <c:order val="0"/>
          <c:tx>
            <c:v>Sector Weight</c:v>
          </c:tx>
          <c:dPt>
            <c:idx val="0"/>
            <c:spPr>
              <a:solidFill>
                <a:srgbClr val="0369A1"/>
              </a:solidFill>
            </c:spPr>
          </c:dPt>
          <c:dPt>
            <c:idx val="1"/>
            <c:spPr>
              <a:solidFill>
                <a:srgbClr val="0D9488"/>
              </a:solidFill>
            </c:spPr>
          </c:dPt>
          <c:dPt>
            <c:idx val="2"/>
            <c:spPr>
              <a:solidFill>
                <a:srgbClr val="F59E0B"/>
              </a:solidFill>
            </c:spPr>
          </c:dPt>
          <c:dPt>
            <c:idx val="3"/>
            <c:spPr>
              <a:solidFill>
                <a:srgbClr val="EA580C"/>
              </a:solidFill>
            </c:spPr>
          </c:dPt>
          <c:dPt>
            <c:idx val="4"/>
            <c:spPr>
              <a:solidFill>
                <a:srgbClr val="8B5CF6"/>
              </a:solidFill>
            </c:spPr>
          </c:dPt>
          <c:dLbls>
            <c:txPr>
              <a:bodyPr/>
              <a:lstStyle/>
              <a:p>
                <a:pPr>
                  <a:defRPr sz="800" b="1" baseline="0">
                    <a:latin typeface="Segoe UI"/>
                  </a:defRPr>
                </a:pPr>
                <a:endParaRPr lang="en-US"/>
              </a:p>
            </c:txPr>
            <c:showPercent val="1"/>
            <c:showLeaderLines val="1"/>
          </c:dLbls>
          <c:cat>
            <c:strRef>
              <c:f>Sector_Summary!$A$2:$A$6</c:f>
              <c:strCache>
                <c:ptCount val="5"/>
                <c:pt idx="0">
                  <c:v>Information Technology</c:v>
                </c:pt>
                <c:pt idx="1">
                  <c:v>Banking &amp; Financials</c:v>
                </c:pt>
                <c:pt idx="2">
                  <c:v>Energy &amp; Mining</c:v>
                </c:pt>
                <c:pt idx="3">
                  <c:v>Railways &amp; Infrastructure</c:v>
                </c:pt>
                <c:pt idx="4">
                  <c:v>Conglomerate &amp; Financials</c:v>
                </c:pt>
              </c:strCache>
            </c:strRef>
          </c:cat>
          <c:val>
            <c:numRef>
              <c:f>Sector_Summary!$B$2:$B$6</c:f>
              <c:numCache>
                <c:formatCode>General</c:formatCode>
                <c:ptCount val="5"/>
                <c:pt idx="0">
                  <c:v>0</c:v>
                </c:pt>
                <c:pt idx="1">
                  <c:v>0</c:v>
                </c:pt>
                <c:pt idx="2">
                  <c:v>0</c:v>
                </c:pt>
                <c:pt idx="3">
                  <c:v>0</c:v>
                </c:pt>
                <c:pt idx="4">
                  <c:v>0</c:v>
                </c:pt>
              </c:numCache>
            </c:numRef>
          </c:val>
        </c:ser>
        <c:firstSliceAng val="0"/>
        <c:holeSize val="50"/>
      </c:doughnutChart>
    </c:plotArea>
    <c:legend>
      <c:legendPos val="b"/>
      <c:layout/>
      <c:txPr>
        <a:bodyPr/>
        <a:lstStyle/>
        <a:p>
          <a:pPr rtl="0">
            <a:defRPr sz="750" baseline="0">
              <a:latin typeface="Segoe UI"/>
            </a:defRPr>
          </a:pPr>
          <a:endParaRPr lang="en-US"/>
        </a:p>
      </c:txPr>
    </c:legend>
    <c:plotVisOnly val="1"/>
  </c:chart>
  <c:spPr>
    <a:solidFill>
      <a:srgbClr val="FFFFFF"/>
    </a:solidFill>
    <a:ln>
      <a:solidFill>
        <a:srgbClr val="CBD5E0"/>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000" b="1" baseline="0">
                <a:solidFill>
                  <a:srgbClr val="0369A1"/>
                </a:solidFill>
                <a:latin typeface="Segoe UI"/>
              </a:defRPr>
            </a:pPr>
            <a:r>
              <a:rPr lang="en-US" sz="1000" b="1" baseline="0">
                <a:solidFill>
                  <a:srgbClr val="0369A1"/>
                </a:solidFill>
                <a:latin typeface="Segoe UI"/>
              </a:rPr>
              <a:t>Asset Share % in Portfolio (Pie Chart)</a:t>
            </a:r>
          </a:p>
        </c:rich>
      </c:tx>
      <c:layout/>
    </c:title>
    <c:plotArea>
      <c:layout/>
      <c:pieChart>
        <c:varyColors val="1"/>
        <c:ser>
          <c:idx val="0"/>
          <c:order val="0"/>
          <c:tx>
            <c:v>Holding Value Share</c:v>
          </c:tx>
          <c:dLbls>
            <c:txPr>
              <a:bodyPr/>
              <a:lstStyle/>
              <a:p>
                <a:pPr>
                  <a:defRPr sz="750" b="1" baseline="0">
                    <a:latin typeface="Segoe UI"/>
                  </a:defRPr>
                </a:pPr>
                <a:endParaRPr lang="en-US"/>
              </a:p>
            </c:txPr>
            <c:showPercent val="1"/>
          </c:dLbls>
          <c:cat>
            <c:strRef>
              <c:f>Holdings_Data!$B$2:$B$12</c:f>
              <c:strCache>
                <c:ptCount val="11"/>
                <c:pt idx="0">
                  <c:v>HCL TECH</c:v>
                </c:pt>
                <c:pt idx="1">
                  <c:v>TCS</c:v>
                </c:pt>
                <c:pt idx="2">
                  <c:v>INFOSYS</c:v>
                </c:pt>
                <c:pt idx="3">
                  <c:v>WIPRO</c:v>
                </c:pt>
                <c:pt idx="4">
                  <c:v>TECH MAHINDRA</c:v>
                </c:pt>
                <c:pt idx="5">
                  <c:v>HDFC BANK</c:v>
                </c:pt>
                <c:pt idx="6">
                  <c:v>AXIS BANK</c:v>
                </c:pt>
                <c:pt idx="7">
                  <c:v>COAL INDIA</c:v>
                </c:pt>
                <c:pt idx="8">
                  <c:v>RVNL (RAIL VIKAS)</c:v>
                </c:pt>
                <c:pt idx="9">
                  <c:v>IRFC (INDIAN RAILWAY)</c:v>
                </c:pt>
                <c:pt idx="10">
                  <c:v>ADITYA BIRLA (ABCAPITAL)</c:v>
                </c:pt>
              </c:strCache>
            </c:strRef>
          </c:cat>
          <c:val>
            <c:numRef>
              <c:f>Holdings_Data!$J$2:$J$12</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er>
        <c:firstSliceAng val="0"/>
      </c:pieChart>
    </c:plotArea>
    <c:legend>
      <c:legendPos val="r"/>
      <c:layout/>
      <c:txPr>
        <a:bodyPr/>
        <a:lstStyle/>
        <a:p>
          <a:pPr rtl="0">
            <a:defRPr sz="750" baseline="0">
              <a:latin typeface="Segoe UI"/>
            </a:defRPr>
          </a:pPr>
          <a:endParaRPr lang="en-US"/>
        </a:p>
      </c:txPr>
    </c:legend>
    <c:plotVisOnly val="1"/>
  </c:chart>
  <c:spPr>
    <a:solidFill>
      <a:srgbClr val="FFFFFF"/>
    </a:solidFill>
    <a:ln>
      <a:solidFill>
        <a:srgbClr val="CBD5E0"/>
      </a:solid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000" b="1" baseline="0">
                <a:solidFill>
                  <a:srgbClr val="0369A1"/>
                </a:solidFill>
                <a:latin typeface="Segoe UI"/>
              </a:defRPr>
            </a:pPr>
            <a:r>
              <a:rPr lang="en-US" sz="1000" b="1" baseline="0">
                <a:solidFill>
                  <a:srgbClr val="0369A1"/>
                </a:solidFill>
                <a:latin typeface="Segoe UI"/>
              </a:rPr>
              <a:t>Top Bluechips 1-Year Price Trajectory (Multi-Line Chart)</a:t>
            </a:r>
          </a:p>
        </c:rich>
      </c:tx>
      <c:layout/>
    </c:title>
    <c:plotArea>
      <c:layout/>
      <c:lineChart>
        <c:grouping val="standard"/>
        <c:ser>
          <c:idx val="0"/>
          <c:order val="0"/>
          <c:tx>
            <c:strRef>
              <c:f>Historical_12M!$A$2</c:f>
              <c:strCache>
                <c:ptCount val="1"/>
                <c:pt idx="0">
                  <c:v>HCL TECH</c:v>
                </c:pt>
              </c:strCache>
            </c:strRef>
          </c:tx>
          <c:spPr>
            <a:ln w="25400">
              <a:solidFill>
                <a:srgbClr val="0369A1"/>
              </a:solidFill>
            </a:ln>
          </c:spPr>
          <c:marker>
            <c:symbol val="none"/>
          </c:marker>
          <c:cat>
            <c:strRef>
              <c:f>Dynamic_Feed!$B$1:$M$1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Historical_12M!$C$2:$N$2</c:f>
              <c:numCache>
                <c:formatCode>General</c:formatCode>
                <c:ptCount val="12"/>
                <c:pt idx="0">
                  <c:v>1180</c:v>
                </c:pt>
                <c:pt idx="1">
                  <c:v>1220.5</c:v>
                </c:pt>
                <c:pt idx="2">
                  <c:v>1265</c:v>
                </c:pt>
                <c:pt idx="3">
                  <c:v>1310</c:v>
                </c:pt>
                <c:pt idx="4">
                  <c:v>1420</c:v>
                </c:pt>
                <c:pt idx="5">
                  <c:v>1485</c:v>
                </c:pt>
                <c:pt idx="6">
                  <c:v>1540</c:v>
                </c:pt>
                <c:pt idx="7">
                  <c:v>1610</c:v>
                </c:pt>
                <c:pt idx="8">
                  <c:v>1660</c:v>
                </c:pt>
                <c:pt idx="9">
                  <c:v>1715</c:v>
                </c:pt>
                <c:pt idx="10">
                  <c:v>1730</c:v>
                </c:pt>
                <c:pt idx="11">
                  <c:v>1745.5</c:v>
                </c:pt>
              </c:numCache>
            </c:numRef>
          </c:val>
        </c:ser>
        <c:ser>
          <c:idx val="1"/>
          <c:order val="1"/>
          <c:tx>
            <c:strRef>
              <c:f>Historical_12M!$A$3</c:f>
              <c:strCache>
                <c:ptCount val="1"/>
                <c:pt idx="0">
                  <c:v>TCS</c:v>
                </c:pt>
              </c:strCache>
            </c:strRef>
          </c:tx>
          <c:spPr>
            <a:ln w="25400">
              <a:solidFill>
                <a:srgbClr val="0D9488"/>
              </a:solidFill>
            </a:ln>
          </c:spPr>
          <c:marker>
            <c:symbol val="none"/>
          </c:marker>
          <c:cat>
            <c:strRef>
              <c:f>Dynamic_Feed!$B$1:$M$1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Historical_12M!$C$3:$N$3</c:f>
              <c:numCache>
                <c:formatCode>General</c:formatCode>
                <c:ptCount val="12"/>
                <c:pt idx="0">
                  <c:v>3400</c:v>
                </c:pt>
                <c:pt idx="1">
                  <c:v>3480</c:v>
                </c:pt>
                <c:pt idx="2">
                  <c:v>3550</c:v>
                </c:pt>
                <c:pt idx="3">
                  <c:v>3620</c:v>
                </c:pt>
                <c:pt idx="4">
                  <c:v>3750</c:v>
                </c:pt>
                <c:pt idx="5">
                  <c:v>3890</c:v>
                </c:pt>
                <c:pt idx="6">
                  <c:v>3980</c:v>
                </c:pt>
                <c:pt idx="7">
                  <c:v>4050</c:v>
                </c:pt>
                <c:pt idx="8">
                  <c:v>4180</c:v>
                </c:pt>
                <c:pt idx="9">
                  <c:v>4220</c:v>
                </c:pt>
                <c:pt idx="10">
                  <c:v>4160</c:v>
                </c:pt>
                <c:pt idx="11">
                  <c:v>4120</c:v>
                </c:pt>
              </c:numCache>
            </c:numRef>
          </c:val>
        </c:ser>
        <c:ser>
          <c:idx val="2"/>
          <c:order val="2"/>
          <c:tx>
            <c:strRef>
              <c:f>Historical_12M!$A$4</c:f>
              <c:strCache>
                <c:ptCount val="1"/>
                <c:pt idx="0">
                  <c:v>INFOSYS</c:v>
                </c:pt>
              </c:strCache>
            </c:strRef>
          </c:tx>
          <c:spPr>
            <a:ln w="25400">
              <a:solidFill>
                <a:srgbClr val="F59E0B"/>
              </a:solidFill>
            </a:ln>
          </c:spPr>
          <c:marker>
            <c:symbol val="none"/>
          </c:marker>
          <c:cat>
            <c:strRef>
              <c:f>Dynamic_Feed!$B$1:$M$1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Historical_12M!$C$4:$N$4</c:f>
              <c:numCache>
                <c:formatCode>General</c:formatCode>
                <c:ptCount val="12"/>
                <c:pt idx="0">
                  <c:v>1410</c:v>
                </c:pt>
                <c:pt idx="1">
                  <c:v>1460</c:v>
                </c:pt>
                <c:pt idx="2">
                  <c:v>1510</c:v>
                </c:pt>
                <c:pt idx="3">
                  <c:v>1580</c:v>
                </c:pt>
                <c:pt idx="4">
                  <c:v>1640</c:v>
                </c:pt>
                <c:pt idx="5">
                  <c:v>1690</c:v>
                </c:pt>
                <c:pt idx="6">
                  <c:v>1750</c:v>
                </c:pt>
                <c:pt idx="7">
                  <c:v>1795</c:v>
                </c:pt>
                <c:pt idx="8">
                  <c:v>1840</c:v>
                </c:pt>
                <c:pt idx="9">
                  <c:v>1880</c:v>
                </c:pt>
                <c:pt idx="10">
                  <c:v>1850</c:v>
                </c:pt>
                <c:pt idx="11">
                  <c:v>1865</c:v>
                </c:pt>
              </c:numCache>
            </c:numRef>
          </c:val>
        </c:ser>
        <c:ser>
          <c:idx val="3"/>
          <c:order val="3"/>
          <c:tx>
            <c:strRef>
              <c:f>Historical_12M!$A$7</c:f>
              <c:strCache>
                <c:ptCount val="1"/>
                <c:pt idx="0">
                  <c:v>HDFC BANK</c:v>
                </c:pt>
              </c:strCache>
            </c:strRef>
          </c:tx>
          <c:spPr>
            <a:ln w="25400">
              <a:solidFill>
                <a:srgbClr val="8B5CF6"/>
              </a:solidFill>
            </a:ln>
          </c:spPr>
          <c:marker>
            <c:symbol val="none"/>
          </c:marker>
          <c:cat>
            <c:strRef>
              <c:f>Dynamic_Feed!$B$1:$M$1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Historical_12M!$C$7:$N$7</c:f>
              <c:numCache>
                <c:formatCode>General</c:formatCode>
                <c:ptCount val="12"/>
                <c:pt idx="0">
                  <c:v>1520</c:v>
                </c:pt>
                <c:pt idx="1">
                  <c:v>1480</c:v>
                </c:pt>
                <c:pt idx="2">
                  <c:v>1450</c:v>
                </c:pt>
                <c:pt idx="3">
                  <c:v>1490</c:v>
                </c:pt>
                <c:pt idx="4">
                  <c:v>1530</c:v>
                </c:pt>
                <c:pt idx="5">
                  <c:v>1560</c:v>
                </c:pt>
                <c:pt idx="6">
                  <c:v>1610</c:v>
                </c:pt>
                <c:pt idx="7">
                  <c:v>1640</c:v>
                </c:pt>
                <c:pt idx="8">
                  <c:v>1670</c:v>
                </c:pt>
                <c:pt idx="9">
                  <c:v>1690</c:v>
                </c:pt>
                <c:pt idx="10">
                  <c:v>1665</c:v>
                </c:pt>
                <c:pt idx="11">
                  <c:v>1680</c:v>
                </c:pt>
              </c:numCache>
            </c:numRef>
          </c:val>
        </c:ser>
        <c:ser>
          <c:idx val="4"/>
          <c:order val="4"/>
          <c:tx>
            <c:strRef>
              <c:f>Historical_12M!$A$10</c:f>
              <c:strCache>
                <c:ptCount val="1"/>
                <c:pt idx="0">
                  <c:v>RVNL (RAIL VIKAS)</c:v>
                </c:pt>
              </c:strCache>
            </c:strRef>
          </c:tx>
          <c:spPr>
            <a:ln w="25400">
              <a:solidFill>
                <a:srgbClr val="EF4444"/>
              </a:solidFill>
            </a:ln>
          </c:spPr>
          <c:marker>
            <c:symbol val="none"/>
          </c:marker>
          <c:cat>
            <c:strRef>
              <c:f>Dynamic_Feed!$B$1:$M$1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Historical_12M!$C$10:$N$10</c:f>
              <c:numCache>
                <c:formatCode>General</c:formatCode>
                <c:ptCount val="12"/>
                <c:pt idx="0">
                  <c:v>180</c:v>
                </c:pt>
                <c:pt idx="1">
                  <c:v>210</c:v>
                </c:pt>
                <c:pt idx="2">
                  <c:v>250</c:v>
                </c:pt>
                <c:pt idx="3">
                  <c:v>290</c:v>
                </c:pt>
                <c:pt idx="4">
                  <c:v>340</c:v>
                </c:pt>
                <c:pt idx="5">
                  <c:v>390</c:v>
                </c:pt>
                <c:pt idx="6">
                  <c:v>440</c:v>
                </c:pt>
                <c:pt idx="7">
                  <c:v>490</c:v>
                </c:pt>
                <c:pt idx="8">
                  <c:v>540</c:v>
                </c:pt>
                <c:pt idx="9">
                  <c:v>590</c:v>
                </c:pt>
                <c:pt idx="10">
                  <c:v>575</c:v>
                </c:pt>
                <c:pt idx="11">
                  <c:v>565</c:v>
                </c:pt>
              </c:numCache>
            </c:numRef>
          </c:val>
        </c:ser>
        <c:marker val="1"/>
        <c:axId val="50050001"/>
        <c:axId val="50050002"/>
      </c:lineChart>
      <c:catAx>
        <c:axId val="50050001"/>
        <c:scaling>
          <c:orientation val="minMax"/>
        </c:scaling>
        <c:axPos val="b"/>
        <c:tickLblPos val="nextTo"/>
        <c:txPr>
          <a:bodyPr/>
          <a:lstStyle/>
          <a:p>
            <a:pPr>
              <a:defRPr sz="750" baseline="0">
                <a:latin typeface="Segoe UI"/>
              </a:defRPr>
            </a:pPr>
            <a:endParaRPr lang="en-US"/>
          </a:p>
        </c:txPr>
        <c:crossAx val="50050002"/>
        <c:crosses val="autoZero"/>
        <c:auto val="1"/>
        <c:lblAlgn val="ctr"/>
        <c:lblOffset val="100"/>
      </c:catAx>
      <c:valAx>
        <c:axId val="50050002"/>
        <c:scaling>
          <c:orientation val="minMax"/>
        </c:scaling>
        <c:axPos val="l"/>
        <c:majorGridlines/>
        <c:numFmt formatCode="&quot;₹ &quot;#,##0" sourceLinked="0"/>
        <c:tickLblPos val="nextTo"/>
        <c:txPr>
          <a:bodyPr/>
          <a:lstStyle/>
          <a:p>
            <a:pPr>
              <a:defRPr sz="750" baseline="0">
                <a:latin typeface="Segoe UI"/>
              </a:defRPr>
            </a:pPr>
            <a:endParaRPr lang="en-US"/>
          </a:p>
        </c:txPr>
        <c:crossAx val="50050001"/>
        <c:crosses val="autoZero"/>
        <c:crossBetween val="between"/>
      </c:valAx>
    </c:plotArea>
    <c:legend>
      <c:legendPos val="b"/>
      <c:layout/>
      <c:txPr>
        <a:bodyPr/>
        <a:lstStyle/>
        <a:p>
          <a:pPr>
            <a:defRPr sz="750" baseline="0">
              <a:latin typeface="Segoe UI"/>
            </a:defRPr>
          </a:pPr>
          <a:endParaRPr lang="en-US"/>
        </a:p>
      </c:txPr>
    </c:legend>
    <c:plotVisOnly val="1"/>
  </c:chart>
  <c:spPr>
    <a:solidFill>
      <a:srgbClr val="FFFFFF"/>
    </a:solidFill>
    <a:ln>
      <a:solidFill>
        <a:srgbClr val="CBD5E0"/>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47625</xdr:colOff>
      <xdr:row>18</xdr:row>
      <xdr:rowOff>47625</xdr:rowOff>
    </xdr:from>
    <xdr:to>
      <xdr:col>8</xdr:col>
      <xdr:colOff>895350</xdr:colOff>
      <xdr:row>25</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47625</xdr:colOff>
      <xdr:row>29</xdr:row>
      <xdr:rowOff>47625</xdr:rowOff>
    </xdr:from>
    <xdr:to>
      <xdr:col>6</xdr:col>
      <xdr:colOff>933450</xdr:colOff>
      <xdr:row>37</xdr:row>
      <xdr:rowOff>85725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95250</xdr:colOff>
      <xdr:row>29</xdr:row>
      <xdr:rowOff>47625</xdr:rowOff>
    </xdr:from>
    <xdr:to>
      <xdr:col>8</xdr:col>
      <xdr:colOff>1609725</xdr:colOff>
      <xdr:row>37</xdr:row>
      <xdr:rowOff>85725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47625</xdr:colOff>
      <xdr:row>40</xdr:row>
      <xdr:rowOff>47625</xdr:rowOff>
    </xdr:from>
    <xdr:to>
      <xdr:col>3</xdr:col>
      <xdr:colOff>981075</xdr:colOff>
      <xdr:row>52</xdr:row>
      <xdr:rowOff>142875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47625</xdr:colOff>
      <xdr:row>40</xdr:row>
      <xdr:rowOff>47625</xdr:rowOff>
    </xdr:from>
    <xdr:to>
      <xdr:col>8</xdr:col>
      <xdr:colOff>895350</xdr:colOff>
      <xdr:row>52</xdr:row>
      <xdr:rowOff>142875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
  <sheetViews>
    <sheetView showGridLines="0" tabSelected="1" workbookViewId="0"/>
  </sheetViews>
  <sheetFormatPr defaultRowHeight="15" x14ac:dyDescent="0.25"/>
  <cols>
    <col min="1" max="1" width="3.7109375" customWidth="1"/>
    <col min="2" max="2" width="30.7109375" customWidth="1"/>
    <col min="3" max="3" width="26.7109375" customWidth="1"/>
    <col min="4" max="4" width="16.7109375" customWidth="1"/>
    <col min="5" max="5" width="22.7109375" customWidth="1"/>
    <col min="6" max="6" width="26.7109375" customWidth="1"/>
    <col min="7" max="7" width="24.7109375" customWidth="1"/>
    <col min="8" max="8" width="18.7109375" customWidth="1"/>
    <col min="9" max="9" width="26.7109375" customWidth="1"/>
    <col min="10" max="10" width="22.7109375" customWidth="1"/>
    <col min="11" max="11" width="6.7109375" customWidth="1"/>
  </cols>
  <sheetData>
    <row r="1" spans="2:10" ht="10" customHeight="1" x14ac:dyDescent="0.25"/>
    <row r="2" spans="2:10" ht="28" customHeight="1" x14ac:dyDescent="0.25">
      <c r="B2" s="1" t="s">
        <v>0</v>
      </c>
      <c r="C2" s="1"/>
      <c r="F2" s="2" t="s">
        <v>3</v>
      </c>
      <c r="G2" s="2" t="s">
        <v>4</v>
      </c>
      <c r="H2" s="2" t="s">
        <v>5</v>
      </c>
      <c r="I2" s="2" t="s">
        <v>6</v>
      </c>
      <c r="J2" s="2" t="s">
        <v>7</v>
      </c>
    </row>
    <row r="3" spans="2:10" ht="38" customHeight="1" x14ac:dyDescent="0.25">
      <c r="B3" s="3" t="s">
        <v>1</v>
      </c>
      <c r="C3" s="4" t="s">
        <v>2</v>
      </c>
      <c r="F3" s="5" cm="1">
        <f t="array" ref="F3">IF(C3="ALL PORTFOLIO (MASTER VIEW)", SUM(F6:F16), _xlfn.XLOOKUP(C3, B6:B16, F6:F16))</f>
        <v>0</v>
      </c>
      <c r="G3" s="6" cm="1">
        <f t="array" ref="G3">IF(C3="ALL PORTFOLIO (MASTER VIEW)", SUM(G6:G16), _xlfn.XLOOKUP(C3, B6:B16, G6:G16))</f>
        <v>0</v>
      </c>
      <c r="H3" s="7" cm="1">
        <f t="array" ref="H3">IF(C3="ALL PORTFOLIO (MASTER VIEW)", G3/(F3-G3), _xlfn.XLOOKUP(C3, B6:B16, H6:H16))</f>
        <v>0</v>
      </c>
      <c r="I3" s="6" cm="1">
        <f t="array" ref="I3">IF(C3="ALL PORTFOLIO (MASTER VIEW)", SUM(I6:I16), _xlfn.XLOOKUP(C3, B6:B16, I6:I16))</f>
        <v>0</v>
      </c>
      <c r="J3" s="7">
        <f>I3/(F3-I3)</f>
        <v>0</v>
      </c>
    </row>
    <row r="4" spans="2:10" ht="12" customHeight="1" x14ac:dyDescent="0.25"/>
    <row r="5" spans="2:10" ht="26" customHeight="1" x14ac:dyDescent="0.25">
      <c r="B5" s="8" t="s">
        <v>8</v>
      </c>
      <c r="C5" s="8" t="s">
        <v>9</v>
      </c>
      <c r="D5" s="9" t="s">
        <v>10</v>
      </c>
      <c r="E5" s="9" t="s">
        <v>11</v>
      </c>
      <c r="F5" s="9" t="s">
        <v>12</v>
      </c>
      <c r="G5" s="9" t="s">
        <v>13</v>
      </c>
      <c r="H5" s="9" t="s">
        <v>14</v>
      </c>
      <c r="I5" s="9" t="s">
        <v>15</v>
      </c>
      <c r="J5" s="10" t="s">
        <v>16</v>
      </c>
    </row>
    <row r="6" spans="2:10" ht="22" customHeight="1" x14ac:dyDescent="0.25">
      <c r="B6" s="11" t="s">
        <v>17</v>
      </c>
      <c r="C6" s="12" t="s">
        <v>18</v>
      </c>
      <c r="D6" s="13">
        <v>150</v>
      </c>
      <c r="E6" s="14">
        <v>1745.5</v>
      </c>
      <c r="F6" s="15">
        <f>D6*E6</f>
        <v>0</v>
      </c>
      <c r="G6" s="16">
        <v>3240</v>
      </c>
      <c r="H6" s="17">
        <v>0.0125</v>
      </c>
      <c r="I6" s="16">
        <f>F6-(D6*Holdings_Data!G2)</f>
        <v>0</v>
      </c>
    </row>
    <row r="7" spans="2:10" ht="22" customHeight="1" x14ac:dyDescent="0.25">
      <c r="B7" s="18" t="s">
        <v>2</v>
      </c>
      <c r="C7" s="19" t="s">
        <v>18</v>
      </c>
      <c r="D7" s="20">
        <v>40</v>
      </c>
      <c r="E7" s="21">
        <v>4120</v>
      </c>
      <c r="F7" s="22">
        <f>D7*E7</f>
        <v>0</v>
      </c>
      <c r="G7" s="23">
        <v>1680</v>
      </c>
      <c r="H7" s="24">
        <v>0.0103</v>
      </c>
      <c r="I7" s="23">
        <f>F7-(D7*Holdings_Data!G3)</f>
        <v>0</v>
      </c>
    </row>
    <row r="8" spans="2:10" ht="22" customHeight="1" x14ac:dyDescent="0.25">
      <c r="B8" s="11" t="s">
        <v>19</v>
      </c>
      <c r="C8" s="12" t="s">
        <v>18</v>
      </c>
      <c r="D8" s="13">
        <v>120</v>
      </c>
      <c r="E8" s="14">
        <v>1865</v>
      </c>
      <c r="F8" s="15">
        <f>D8*E8</f>
        <v>0</v>
      </c>
      <c r="G8" s="16">
        <v>2280</v>
      </c>
      <c r="H8" s="17">
        <v>0.0103</v>
      </c>
      <c r="I8" s="16">
        <f>F8-(D8*Holdings_Data!G4)</f>
        <v>0</v>
      </c>
    </row>
    <row r="9" spans="2:10" ht="22" customHeight="1" x14ac:dyDescent="0.25">
      <c r="B9" s="18" t="s">
        <v>20</v>
      </c>
      <c r="C9" s="19" t="s">
        <v>18</v>
      </c>
      <c r="D9" s="20">
        <v>250</v>
      </c>
      <c r="E9" s="21">
        <v>545</v>
      </c>
      <c r="F9" s="22">
        <f>D9*E9</f>
        <v>0</v>
      </c>
      <c r="G9" s="23">
        <v>-875</v>
      </c>
      <c r="H9" s="24">
        <v>-0.0064</v>
      </c>
      <c r="I9" s="23">
        <f>F9-(D9*Holdings_Data!G5)</f>
        <v>0</v>
      </c>
    </row>
    <row r="10" spans="2:10" ht="22" customHeight="1" x14ac:dyDescent="0.25">
      <c r="B10" s="11" t="s">
        <v>21</v>
      </c>
      <c r="C10" s="12" t="s">
        <v>18</v>
      </c>
      <c r="D10" s="13">
        <v>80</v>
      </c>
      <c r="E10" s="14">
        <v>1640</v>
      </c>
      <c r="F10" s="15">
        <f>D10*E10</f>
        <v>0</v>
      </c>
      <c r="G10" s="16">
        <v>1280</v>
      </c>
      <c r="H10" s="17">
        <v>0.0098</v>
      </c>
      <c r="I10" s="16">
        <f>F10-(D10*Holdings_Data!G6)</f>
        <v>0</v>
      </c>
    </row>
    <row r="11" spans="2:10" ht="22" customHeight="1" x14ac:dyDescent="0.25">
      <c r="B11" s="18" t="s">
        <v>22</v>
      </c>
      <c r="C11" s="19" t="s">
        <v>23</v>
      </c>
      <c r="D11" s="20">
        <v>100</v>
      </c>
      <c r="E11" s="21">
        <v>1680</v>
      </c>
      <c r="F11" s="22">
        <f>D11*E11</f>
        <v>0</v>
      </c>
      <c r="G11" s="23">
        <v>1400</v>
      </c>
      <c r="H11" s="24">
        <v>0.008399999999999999</v>
      </c>
      <c r="I11" s="23">
        <f>F11-(D11*Holdings_Data!G7)</f>
        <v>0</v>
      </c>
    </row>
    <row r="12" spans="2:10" ht="22" customHeight="1" x14ac:dyDescent="0.25">
      <c r="B12" s="11" t="s">
        <v>24</v>
      </c>
      <c r="C12" s="12" t="s">
        <v>23</v>
      </c>
      <c r="D12" s="13">
        <v>90</v>
      </c>
      <c r="E12" s="14">
        <v>1265</v>
      </c>
      <c r="F12" s="15">
        <f>D12*E12</f>
        <v>0</v>
      </c>
      <c r="G12" s="16">
        <v>810</v>
      </c>
      <c r="H12" s="17">
        <v>0.0071</v>
      </c>
      <c r="I12" s="16">
        <f>F12-(D12*Holdings_Data!G8)</f>
        <v>0</v>
      </c>
    </row>
    <row r="13" spans="2:10" ht="22" customHeight="1" x14ac:dyDescent="0.25">
      <c r="B13" s="18" t="s">
        <v>25</v>
      </c>
      <c r="C13" s="19" t="s">
        <v>26</v>
      </c>
      <c r="D13" s="20">
        <v>300</v>
      </c>
      <c r="E13" s="21">
        <v>495</v>
      </c>
      <c r="F13" s="22">
        <f>D13*E13</f>
        <v>0</v>
      </c>
      <c r="G13" s="23">
        <v>1650</v>
      </c>
      <c r="H13" s="24">
        <v>0.0112</v>
      </c>
      <c r="I13" s="23">
        <f>F13-(D13*Holdings_Data!G9)</f>
        <v>0</v>
      </c>
    </row>
    <row r="14" spans="2:10" ht="22" customHeight="1" x14ac:dyDescent="0.25">
      <c r="B14" s="11" t="s">
        <v>27</v>
      </c>
      <c r="C14" s="12" t="s">
        <v>28</v>
      </c>
      <c r="D14" s="13">
        <v>350</v>
      </c>
      <c r="E14" s="14">
        <v>565</v>
      </c>
      <c r="F14" s="15">
        <f>D14*E14</f>
        <v>0</v>
      </c>
      <c r="G14" s="16">
        <v>4725</v>
      </c>
      <c r="H14" s="17">
        <v>0.0245</v>
      </c>
      <c r="I14" s="16">
        <f>F14-(D14*Holdings_Data!G10)</f>
        <v>0</v>
      </c>
    </row>
    <row r="15" spans="2:10" ht="22" customHeight="1" x14ac:dyDescent="0.25">
      <c r="B15" s="18" t="s">
        <v>29</v>
      </c>
      <c r="C15" s="19" t="s">
        <v>28</v>
      </c>
      <c r="D15" s="20">
        <v>800</v>
      </c>
      <c r="E15" s="21">
        <v>185</v>
      </c>
      <c r="F15" s="22">
        <f>D15*E15</f>
        <v>0</v>
      </c>
      <c r="G15" s="23">
        <v>2400</v>
      </c>
      <c r="H15" s="24">
        <v>0.0164</v>
      </c>
      <c r="I15" s="23">
        <f>F15-(D15*Holdings_Data!G11)</f>
        <v>0</v>
      </c>
    </row>
    <row r="16" spans="2:10" ht="22" customHeight="1" x14ac:dyDescent="0.25">
      <c r="B16" s="11" t="s">
        <v>30</v>
      </c>
      <c r="C16" s="12" t="s">
        <v>31</v>
      </c>
      <c r="D16" s="13">
        <v>400</v>
      </c>
      <c r="E16" s="14">
        <v>405</v>
      </c>
      <c r="F16" s="15">
        <f>D16*E16</f>
        <v>0</v>
      </c>
      <c r="G16" s="16">
        <v>1200</v>
      </c>
      <c r="H16" s="17">
        <v>0.0075</v>
      </c>
      <c r="I16" s="16">
        <f>F16-(D16*Holdings_Data!G12)</f>
        <v>0</v>
      </c>
    </row>
    <row r="17" spans="2:10" ht="26" customHeight="1" x14ac:dyDescent="0.25">
      <c r="B17" s="25" t="s">
        <v>32</v>
      </c>
      <c r="C17" s="25" t="s">
        <v>33</v>
      </c>
      <c r="D17" s="25"/>
      <c r="E17" s="25"/>
      <c r="F17" s="26">
        <f>SUM(F6:F16)</f>
        <v>0</v>
      </c>
      <c r="G17" s="26">
        <f>SUM(G6:G16)</f>
        <v>0</v>
      </c>
      <c r="H17" s="27">
        <f>G17/(F17-G17)</f>
        <v>0</v>
      </c>
      <c r="I17" s="26">
        <f>SUM(I6:I16)</f>
        <v>0</v>
      </c>
      <c r="J17" s="25"/>
    </row>
    <row r="18" spans="2:10" ht="14" customHeight="1" x14ac:dyDescent="0.25">
      <c r="B18" s="28" t="s">
        <v>34</v>
      </c>
      <c r="C18" s="28"/>
      <c r="D18" s="28"/>
      <c r="E18" s="28"/>
      <c r="F18" s="29" t="s">
        <v>35</v>
      </c>
      <c r="G18" s="29"/>
      <c r="H18" s="29"/>
      <c r="I18" s="29"/>
      <c r="J18" s="29"/>
    </row>
    <row r="19" spans="2:10" ht="26" customHeight="1" x14ac:dyDescent="0.25">
      <c r="B19" s="30" cm="1">
        <f t="array" ref="B19">IF(C3="ALL PORTFOLIO (MASTER VIEW)", "SELECTED: ALL PORTFOLIO OVERVIEW", "SELECTED STOCK: " &amp; C3 &amp; " - " &amp; _xlfn.XLOOKUP(C3, Holdings_Data!B2:B12, Holdings_Data!C2:C12))</f>
        <v>0</v>
      </c>
      <c r="C19" s="30"/>
      <c r="D19" s="30"/>
      <c r="E19" s="30"/>
    </row>
    <row r="20" spans="2:10" ht="22" customHeight="1" x14ac:dyDescent="0.25">
      <c r="B20" s="31" t="s">
        <v>36</v>
      </c>
      <c r="C20" s="31"/>
      <c r="D20" s="32" cm="1">
        <f t="array" ref="D20">IF(C3="ALL PORTFOLIO (MASTER VIEW)", "Consolidated 11 Indian Bluechip Assets", _xlfn.XLOOKUP(C3, Holdings_Data!B2:B12, Holdings_Data!C2:C12))</f>
        <v>0</v>
      </c>
      <c r="E20" s="32"/>
    </row>
    <row r="21" spans="2:10" ht="22" customHeight="1" x14ac:dyDescent="0.25">
      <c r="B21" s="31" t="s">
        <v>37</v>
      </c>
      <c r="C21" s="31"/>
      <c r="D21" s="32" cm="1">
        <f t="array" ref="D21">IF(C3="ALL PORTFOLIO (MASTER VIEW)", "PORTFOLIO.NSE", _xlfn.XLOOKUP(C3, Holdings_Data!B2:B12, Holdings_Data!A2:A12))</f>
        <v>0</v>
      </c>
      <c r="E21" s="32"/>
    </row>
    <row r="22" spans="2:10" ht="22" customHeight="1" x14ac:dyDescent="0.25">
      <c r="B22" s="31" t="s">
        <v>9</v>
      </c>
      <c r="C22" s="31"/>
      <c r="D22" s="32" cm="1">
        <f t="array" ref="D22">IF(C3="ALL PORTFOLIO (MASTER VIEW)", "Multi-Sector Diversified", _xlfn.XLOOKUP(C3, Holdings_Data!B2:B12, Holdings_Data!D2:D12))</f>
        <v>0</v>
      </c>
      <c r="E22" s="32"/>
    </row>
    <row r="23" spans="2:10" ht="22" customHeight="1" x14ac:dyDescent="0.25">
      <c r="B23" s="31" t="s">
        <v>38</v>
      </c>
      <c r="C23" s="31"/>
      <c r="D23" s="33" cm="1">
        <f t="array" ref="D23">IF(C3="ALL PORTFOLIO (MASTER VIEW)", SUM(Holdings_Data!E2:E12), _xlfn.XLOOKUP(C3, Holdings_Data!B2:B12, Holdings_Data!E2:E12))</f>
        <v>0</v>
      </c>
      <c r="E23" s="33"/>
    </row>
    <row r="24" spans="2:10" ht="22" customHeight="1" x14ac:dyDescent="0.25">
      <c r="B24" s="31" t="s">
        <v>39</v>
      </c>
      <c r="C24" s="31"/>
      <c r="D24" s="34" cm="1">
        <f t="array" ref="D24">IF(C3="ALL PORTFOLIO (MASTER VIEW)", "-", _xlfn.XLOOKUP(C3, Holdings_Data!B2:B12, Holdings_Data!G2:G12))</f>
        <v>0</v>
      </c>
      <c r="E24" s="34"/>
    </row>
    <row r="25" spans="2:10" ht="22" customHeight="1" x14ac:dyDescent="0.25">
      <c r="B25" s="31" t="s">
        <v>40</v>
      </c>
      <c r="C25" s="31"/>
      <c r="D25" s="34" cm="1">
        <f t="array" ref="D25">IF(C3="ALL PORTFOLIO (MASTER VIEW)", "-", _xlfn.XLOOKUP(C3, Holdings_Data!B2:B12, Holdings_Data!H2:H12))</f>
        <v>0</v>
      </c>
      <c r="E25" s="34"/>
    </row>
    <row r="26" spans="2:10" ht="22" customHeight="1" x14ac:dyDescent="0.25">
      <c r="B26" s="31" t="s">
        <v>41</v>
      </c>
      <c r="C26" s="31"/>
      <c r="D26" s="34" cm="1">
        <f t="array" ref="D26">IF(C3="ALL PORTFOLIO (MASTER VIEW)", SUM(Holdings_Data!I2:I12), _xlfn.XLOOKUP(C3, Holdings_Data!B2:B12, Holdings_Data!I2:I12))</f>
        <v>0</v>
      </c>
      <c r="E26" s="34"/>
    </row>
    <row r="27" spans="2:10" ht="22" customHeight="1" x14ac:dyDescent="0.25">
      <c r="B27" s="31" t="s">
        <v>42</v>
      </c>
      <c r="C27" s="31"/>
      <c r="D27" s="34" cm="1">
        <f t="array" ref="D27">IF(C3="ALL PORTFOLIO (MASTER VIEW)", SUM(Holdings_Data!J2:J12), _xlfn.XLOOKUP(C3, Holdings_Data!B2:B12, Holdings_Data!J2:J12))</f>
        <v>0</v>
      </c>
      <c r="E27" s="34"/>
    </row>
    <row r="28" spans="2:10" ht="22" customHeight="1" x14ac:dyDescent="0.25">
      <c r="B28" s="31" t="s">
        <v>43</v>
      </c>
      <c r="C28" s="31"/>
      <c r="D28" s="35" cm="1">
        <f t="array" ref="D28">IF(C3="ALL PORTFOLIO (MASTER VIEW)", SUM(Holdings_Data!K2:K12), _xlfn.XLOOKUP(C3, Holdings_Data!B2:B12, Holdings_Data!K2:K12))</f>
        <v>0</v>
      </c>
      <c r="E28" s="35"/>
    </row>
    <row r="29" spans="2:10" ht="22" customHeight="1" x14ac:dyDescent="0.25">
      <c r="B29" s="31" t="s">
        <v>44</v>
      </c>
      <c r="C29" s="31"/>
      <c r="D29" s="36" cm="1">
        <f t="array" ref="D29">IF(C3="ALL PORTFOLIO (MASTER VIEW)", SUM(Holdings_Data!K2:K12)/SUM(Holdings_Data!I2:I12), _xlfn.XLOOKUP(C3, Holdings_Data!B2:B12, Holdings_Data!L2:L12))</f>
        <v>0</v>
      </c>
      <c r="E29" s="36"/>
    </row>
    <row r="30" spans="2:10" ht="22" customHeight="1" x14ac:dyDescent="0.25">
      <c r="B30" s="31" t="s">
        <v>45</v>
      </c>
      <c r="C30" s="31"/>
      <c r="D30" s="32" cm="1">
        <f t="array" ref="D30">IF(C3="ALL PORTFOLIO (MASTER VIEW)", "21500 - 26200", _xlfn.XLOOKUP(C3, Holdings_Data!B2:B12, Holdings_Data!Q2:Q12))</f>
        <v>0</v>
      </c>
      <c r="E30" s="32"/>
    </row>
    <row r="31" spans="2:10" ht="22" customHeight="1" x14ac:dyDescent="0.25">
      <c r="B31" s="31" t="s">
        <v>46</v>
      </c>
      <c r="C31" s="31"/>
      <c r="D31" s="34" cm="1">
        <f t="array" ref="D31">IF(C3="ALL PORTFOLIO (MASTER VIEW)", SUM(Holdings_Data!P2:P12), _xlfn.XLOOKUP(C3, Holdings_Data!B2:B12, Holdings_Data!P2:P12))</f>
        <v>0</v>
      </c>
      <c r="E31" s="34"/>
    </row>
    <row r="32" spans="2:10" ht="22" customHeight="1" x14ac:dyDescent="0.25">
      <c r="B32" s="31" t="s">
        <v>47</v>
      </c>
      <c r="C32" s="31"/>
      <c r="D32" s="37" cm="1">
        <f t="array" ref="D32">IF(C3="ALL PORTFOLIO (MASTER VIEW)", "BULLISH / OVERWEIGHT", _xlfn.XLOOKUP(C3, Holdings_Data!B2:B12, Holdings_Data!R2:R12))</f>
        <v>0</v>
      </c>
      <c r="E32" s="37"/>
    </row>
    <row r="33" spans="2:10" ht="22" customHeight="1" x14ac:dyDescent="0.25">
      <c r="B33" s="31" t="s">
        <v>48</v>
      </c>
      <c r="C33" s="31"/>
      <c r="D33" s="36" cm="1">
        <f t="array" ref="D33">IF(C3="ALL PORTFOLIO (MASTER VIEW)", 1, _xlfn.XLOOKUP(C3, Holdings_Data!B2:B12, Holdings_Data!J2:J12)/SUM(Holdings_Data!J2:J12))</f>
        <v>0</v>
      </c>
      <c r="E33" s="36"/>
    </row>
    <row r="40" spans="2:10" ht="24" customHeight="1" x14ac:dyDescent="0.25">
      <c r="B40" s="28" t="s">
        <v>49</v>
      </c>
      <c r="C40" s="28"/>
      <c r="D40" s="28"/>
      <c r="E40" s="28"/>
      <c r="F40" s="29" t="s">
        <v>50</v>
      </c>
      <c r="G40" s="29"/>
      <c r="H40" s="29"/>
      <c r="I40" s="29"/>
      <c r="J40" s="29"/>
    </row>
  </sheetData>
  <mergeCells count="34">
    <mergeCell ref="B2:C2"/>
    <mergeCell ref="B18:E18"/>
    <mergeCell ref="F18:J18"/>
    <mergeCell ref="B19:E19"/>
    <mergeCell ref="B20:C20"/>
    <mergeCell ref="D20:E20"/>
    <mergeCell ref="B21:C21"/>
    <mergeCell ref="D21:E21"/>
    <mergeCell ref="B22:C22"/>
    <mergeCell ref="D22:E22"/>
    <mergeCell ref="B23:C23"/>
    <mergeCell ref="D23:E23"/>
    <mergeCell ref="B24:C24"/>
    <mergeCell ref="D24:E24"/>
    <mergeCell ref="B25:C25"/>
    <mergeCell ref="D25:E25"/>
    <mergeCell ref="B26:C26"/>
    <mergeCell ref="D26:E26"/>
    <mergeCell ref="B27:C27"/>
    <mergeCell ref="D27:E27"/>
    <mergeCell ref="B28:C28"/>
    <mergeCell ref="D28:E28"/>
    <mergeCell ref="B29:C29"/>
    <mergeCell ref="D29:E29"/>
    <mergeCell ref="B30:C30"/>
    <mergeCell ref="D30:E30"/>
    <mergeCell ref="B31:C31"/>
    <mergeCell ref="D31:E31"/>
    <mergeCell ref="B32:C32"/>
    <mergeCell ref="D32:E32"/>
    <mergeCell ref="B33:C33"/>
    <mergeCell ref="D33:E33"/>
    <mergeCell ref="B40:E40"/>
    <mergeCell ref="F40:J40"/>
  </mergeCells>
  <conditionalFormatting sqref="F6:F16">
    <cfRule type="dataBar" priority="1">
      <dataBar>
        <cfvo type="num" val="0"/>
        <cfvo type="max"/>
        <color rgb="FF2DD4BF"/>
      </dataBar>
      <extLst>
        <ext xmlns:x14="http://schemas.microsoft.com/office/spreadsheetml/2009/9/main" uri="{B025F937-C7B1-47D3-B67F-A62EFF666E3E}">
          <x14:id>{DA7ABA51-AAAA-BBBB-0001-000000000001}</x14:id>
        </ext>
      </extLst>
    </cfRule>
  </conditionalFormatting>
  <dataValidations count="1">
    <dataValidation type="list" allowBlank="1" showInputMessage="1" showErrorMessage="1" sqref="C3">
      <formula1>"ALL PORTFOLIO (MASTER VIEW),HCL TECH,TCS,INFOSYS,WIPRO,TECH MAHINDRA,HDFC BANK,AXIS BANK,COAL INDIA,RVNL (RAIL VIKAS),IRFC (INDIAN RAILWAY),ADITYA BIRLA (ABCAPITAL)"</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DA7ABA51-AAAA-BBBB-0001-000000000001}">
            <x14:dataBar minLength="0" maxLength="100" border="1" gradient="0" negativeBarBorderColorSameAsPositive="0">
              <x14:cfvo type="num">
                <xm:f>0</xm:f>
              </x14:cfvo>
              <x14:cfvo type="max"/>
              <x14:borderColor rgb="FF2DD4BF"/>
              <x14:negativeFillColor rgb="FFFF0000"/>
              <x14:negativeBorderColor rgb="FFFF0000"/>
              <x14:axisColor rgb="FF000000"/>
            </x14:dataBar>
          </x14:cfRule>
          <xm:sqref>F6:F16</xm:sqref>
        </x14:conditionalFormatting>
      </x14:conditionalFormattings>
    </ext>
    <ext xmlns:x14="http://schemas.microsoft.com/office/spreadsheetml/2009/9/main" uri="{05C60535-1F16-4fd2-B633-F4F36F0B64E0}">
      <x14:sparklineGroups xmlns:xm="http://schemas.microsoft.com/office/excel/2006/main">
        <x14:sparklineGroup displayEmptyCellsAs="gap" high="1" low="1">
          <x14:colorSeries theme="8" tint="-0.249977111117893"/>
          <x14:colorNegative theme="9"/>
          <x14:colorAxis rgb="FF000000"/>
          <x14:colorMarkers theme="9" tint="-0.249977111117893"/>
          <x14:colorFirst theme="9" tint="-0.249977111117893"/>
          <x14:colorLast theme="9" tint="-0.249977111117893"/>
          <x14:colorHigh theme="9" tint="-0.249977111117893"/>
          <x14:colorLow theme="9" tint="-0.249977111117893"/>
          <x14:sparklines>
            <x14:sparkline>
              <xm:f>Historical_12M!C12:N12</xm:f>
              <xm:sqref>J16</xm:sqref>
            </x14:sparkline>
          </x14:sparklines>
        </x14:sparklineGroup>
        <x14:sparklineGroup displayEmptyCellsAs="gap" high="1" low="1">
          <x14:colorSeries theme="8" tint="-0.249977111117893"/>
          <x14:colorNegative theme="9"/>
          <x14:colorAxis rgb="FF000000"/>
          <x14:colorMarkers theme="9" tint="-0.249977111117893"/>
          <x14:colorFirst theme="9" tint="-0.249977111117893"/>
          <x14:colorLast theme="9" tint="-0.249977111117893"/>
          <x14:colorHigh theme="9" tint="-0.249977111117893"/>
          <x14:colorLow theme="9" tint="-0.249977111117893"/>
          <x14:sparklines>
            <x14:sparkline>
              <xm:f>Historical_12M!C11:N11</xm:f>
              <xm:sqref>J15</xm:sqref>
            </x14:sparkline>
          </x14:sparklines>
        </x14:sparklineGroup>
        <x14:sparklineGroup displayEmptyCellsAs="gap" high="1" low="1">
          <x14:colorSeries theme="8" tint="-0.249977111117893"/>
          <x14:colorNegative theme="9"/>
          <x14:colorAxis rgb="FF000000"/>
          <x14:colorMarkers theme="9" tint="-0.249977111117893"/>
          <x14:colorFirst theme="9" tint="-0.249977111117893"/>
          <x14:colorLast theme="9" tint="-0.249977111117893"/>
          <x14:colorHigh theme="9" tint="-0.249977111117893"/>
          <x14:colorLow theme="9" tint="-0.249977111117893"/>
          <x14:sparklines>
            <x14:sparkline>
              <xm:f>Historical_12M!C10:N10</xm:f>
              <xm:sqref>J14</xm:sqref>
            </x14:sparkline>
          </x14:sparklines>
        </x14:sparklineGroup>
        <x14:sparklineGroup displayEmptyCellsAs="gap" high="1" low="1">
          <x14:colorSeries theme="8" tint="-0.249977111117893"/>
          <x14:colorNegative theme="9"/>
          <x14:colorAxis rgb="FF000000"/>
          <x14:colorMarkers theme="9" tint="-0.249977111117893"/>
          <x14:colorFirst theme="9" tint="-0.249977111117893"/>
          <x14:colorLast theme="9" tint="-0.249977111117893"/>
          <x14:colorHigh theme="9" tint="-0.249977111117893"/>
          <x14:colorLow theme="9" tint="-0.249977111117893"/>
          <x14:sparklines>
            <x14:sparkline>
              <xm:f>Historical_12M!C9:N9</xm:f>
              <xm:sqref>J13</xm:sqref>
            </x14:sparkline>
          </x14:sparklines>
        </x14:sparklineGroup>
        <x14:sparklineGroup displayEmptyCellsAs="gap" high="1" low="1">
          <x14:colorSeries theme="8" tint="-0.249977111117893"/>
          <x14:colorNegative theme="9"/>
          <x14:colorAxis rgb="FF000000"/>
          <x14:colorMarkers theme="9" tint="-0.249977111117893"/>
          <x14:colorFirst theme="9" tint="-0.249977111117893"/>
          <x14:colorLast theme="9" tint="-0.249977111117893"/>
          <x14:colorHigh theme="9" tint="-0.249977111117893"/>
          <x14:colorLow theme="9" tint="-0.249977111117893"/>
          <x14:sparklines>
            <x14:sparkline>
              <xm:f>Historical_12M!C8:N8</xm:f>
              <xm:sqref>J12</xm:sqref>
            </x14:sparkline>
          </x14:sparklines>
        </x14:sparklineGroup>
        <x14:sparklineGroup displayEmptyCellsAs="gap" high="1" low="1">
          <x14:colorSeries theme="8" tint="-0.249977111117893"/>
          <x14:colorNegative theme="9"/>
          <x14:colorAxis rgb="FF000000"/>
          <x14:colorMarkers theme="9" tint="-0.249977111117893"/>
          <x14:colorFirst theme="9" tint="-0.249977111117893"/>
          <x14:colorLast theme="9" tint="-0.249977111117893"/>
          <x14:colorHigh theme="9" tint="-0.249977111117893"/>
          <x14:colorLow theme="9" tint="-0.249977111117893"/>
          <x14:sparklines>
            <x14:sparkline>
              <xm:f>Historical_12M!C7:N7</xm:f>
              <xm:sqref>J11</xm:sqref>
            </x14:sparkline>
          </x14:sparklines>
        </x14:sparklineGroup>
        <x14:sparklineGroup displayEmptyCellsAs="gap" high="1" low="1">
          <x14:colorSeries theme="8" tint="-0.249977111117893"/>
          <x14:colorNegative theme="9"/>
          <x14:colorAxis rgb="FF000000"/>
          <x14:colorMarkers theme="9" tint="-0.249977111117893"/>
          <x14:colorFirst theme="9" tint="-0.249977111117893"/>
          <x14:colorLast theme="9" tint="-0.249977111117893"/>
          <x14:colorHigh theme="9" tint="-0.249977111117893"/>
          <x14:colorLow theme="9" tint="-0.249977111117893"/>
          <x14:sparklines>
            <x14:sparkline>
              <xm:f>Historical_12M!C6:N6</xm:f>
              <xm:sqref>J10</xm:sqref>
            </x14:sparkline>
          </x14:sparklines>
        </x14:sparklineGroup>
        <x14:sparklineGroup displayEmptyCellsAs="gap" high="1" low="1">
          <x14:colorSeries theme="8" tint="-0.249977111117893"/>
          <x14:colorNegative theme="9"/>
          <x14:colorAxis rgb="FF000000"/>
          <x14:colorMarkers theme="9" tint="-0.249977111117893"/>
          <x14:colorFirst theme="9" tint="-0.249977111117893"/>
          <x14:colorLast theme="9" tint="-0.249977111117893"/>
          <x14:colorHigh theme="9" tint="-0.249977111117893"/>
          <x14:colorLow theme="9" tint="-0.249977111117893"/>
          <x14:sparklines>
            <x14:sparkline>
              <xm:f>Historical_12M!C5:N5</xm:f>
              <xm:sqref>J9</xm:sqref>
            </x14:sparkline>
          </x14:sparklines>
        </x14:sparklineGroup>
        <x14:sparklineGroup displayEmptyCellsAs="gap" high="1" low="1">
          <x14:colorSeries theme="8" tint="-0.249977111117893"/>
          <x14:colorNegative theme="9"/>
          <x14:colorAxis rgb="FF000000"/>
          <x14:colorMarkers theme="9" tint="-0.249977111117893"/>
          <x14:colorFirst theme="9" tint="-0.249977111117893"/>
          <x14:colorLast theme="9" tint="-0.249977111117893"/>
          <x14:colorHigh theme="9" tint="-0.249977111117893"/>
          <x14:colorLow theme="9" tint="-0.249977111117893"/>
          <x14:sparklines>
            <x14:sparkline>
              <xm:f>Historical_12M!C4:N4</xm:f>
              <xm:sqref>J8</xm:sqref>
            </x14:sparkline>
          </x14:sparklines>
        </x14:sparklineGroup>
        <x14:sparklineGroup displayEmptyCellsAs="gap" high="1" low="1">
          <x14:colorSeries theme="8" tint="-0.249977111117893"/>
          <x14:colorNegative theme="9"/>
          <x14:colorAxis rgb="FF000000"/>
          <x14:colorMarkers theme="9" tint="-0.249977111117893"/>
          <x14:colorFirst theme="9" tint="-0.249977111117893"/>
          <x14:colorLast theme="9" tint="-0.249977111117893"/>
          <x14:colorHigh theme="9" tint="-0.249977111117893"/>
          <x14:colorLow theme="9" tint="-0.249977111117893"/>
          <x14:sparklines>
            <x14:sparkline>
              <xm:f>Historical_12M!C3:N3</xm:f>
              <xm:sqref>J7</xm:sqref>
            </x14:sparkline>
          </x14:sparklines>
        </x14:sparklineGroup>
        <x14:sparklineGroup displayEmptyCellsAs="gap" high="1" low="1">
          <x14:colorSeries theme="8" tint="-0.249977111117893"/>
          <x14:colorNegative theme="9"/>
          <x14:colorAxis rgb="FF000000"/>
          <x14:colorMarkers theme="9" tint="-0.249977111117893"/>
          <x14:colorFirst theme="9" tint="-0.249977111117893"/>
          <x14:colorLast theme="9" tint="-0.249977111117893"/>
          <x14:colorHigh theme="9" tint="-0.249977111117893"/>
          <x14:colorLow theme="9" tint="-0.249977111117893"/>
          <x14:sparklines>
            <x14:sparkline>
              <xm:f>Historical_12M!C2:N2</xm:f>
              <xm:sqref>J6</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dimension ref="A1:R12"/>
  <sheetViews>
    <sheetView workbookViewId="0"/>
  </sheetViews>
  <sheetFormatPr defaultRowHeight="15"/>
  <cols>
    <col min="1" max="1" width="18.7109375" customWidth="1"/>
    <col min="2" max="2" width="22.7109375" customWidth="1"/>
    <col min="3" max="3" width="28.7109375" customWidth="1"/>
    <col min="4" max="4" width="26.7109375" customWidth="1"/>
    <col min="5" max="5" width="18.7109375" customWidth="1"/>
    <col min="6" max="6" width="16.7109375" customWidth="1"/>
    <col min="7" max="8" width="20.7109375" customWidth="1"/>
    <col min="9" max="10" width="26.7109375" customWidth="1"/>
    <col min="11" max="11" width="32.7109375" customWidth="1"/>
    <col min="12" max="12" width="18.7109375" customWidth="1"/>
    <col min="13" max="13" width="22.7109375" customWidth="1"/>
    <col min="14" max="14" width="18.7109375" customWidth="1"/>
    <col min="15" max="15" width="20.7109375" customWidth="1"/>
    <col min="16" max="16" width="24.7109375" customWidth="1"/>
    <col min="17" max="17" width="20.7109375" customWidth="1"/>
    <col min="18" max="18" width="24.7109375" customWidth="1"/>
  </cols>
  <sheetData>
    <row r="1" spans="1:18" ht="26" customHeight="1">
      <c r="A1" s="8" t="s">
        <v>51</v>
      </c>
      <c r="B1" s="8" t="s">
        <v>52</v>
      </c>
      <c r="C1" s="8" t="s">
        <v>53</v>
      </c>
      <c r="D1" s="8" t="s">
        <v>54</v>
      </c>
      <c r="E1" s="9" t="s">
        <v>55</v>
      </c>
      <c r="F1" s="9" t="s">
        <v>56</v>
      </c>
      <c r="G1" s="9" t="s">
        <v>57</v>
      </c>
      <c r="H1" s="9" t="s">
        <v>58</v>
      </c>
      <c r="I1" s="9" t="s">
        <v>59</v>
      </c>
      <c r="J1" s="9" t="s">
        <v>12</v>
      </c>
      <c r="K1" s="9" t="s">
        <v>60</v>
      </c>
      <c r="L1" s="9" t="s">
        <v>61</v>
      </c>
      <c r="M1" s="9" t="s">
        <v>62</v>
      </c>
      <c r="N1" s="9" t="s">
        <v>63</v>
      </c>
      <c r="O1" s="9" t="s">
        <v>64</v>
      </c>
      <c r="P1" s="9" t="s">
        <v>65</v>
      </c>
      <c r="Q1" s="9" t="s">
        <v>66</v>
      </c>
      <c r="R1" s="9" t="s">
        <v>67</v>
      </c>
    </row>
    <row r="2" spans="1:18" ht="22" customHeight="1">
      <c r="A2" s="11" t="s">
        <v>68</v>
      </c>
      <c r="B2" s="11" t="s">
        <v>17</v>
      </c>
      <c r="C2" s="12" t="s">
        <v>69</v>
      </c>
      <c r="D2" s="12" t="s">
        <v>18</v>
      </c>
      <c r="E2" s="13">
        <v>150</v>
      </c>
      <c r="F2" s="12" t="s">
        <v>70</v>
      </c>
      <c r="G2" s="14">
        <v>1120</v>
      </c>
      <c r="H2" s="14">
        <v>1745.5</v>
      </c>
      <c r="I2" s="15">
        <f>E2*G2</f>
        <v>0</v>
      </c>
      <c r="J2" s="15">
        <f>E2*H2</f>
        <v>0</v>
      </c>
      <c r="K2" s="16">
        <f>J2-I2</f>
        <v>0</v>
      </c>
      <c r="L2" s="17">
        <f>K2/I2</f>
        <v>0</v>
      </c>
      <c r="M2" s="16">
        <v>3240</v>
      </c>
      <c r="N2" s="17">
        <v>0.0125</v>
      </c>
      <c r="O2" s="17">
        <v>0.0315</v>
      </c>
      <c r="P2" s="14">
        <f>J2*O2</f>
        <v>0</v>
      </c>
      <c r="Q2" s="12" t="s">
        <v>71</v>
      </c>
      <c r="R2" s="12" t="s">
        <v>72</v>
      </c>
    </row>
    <row r="3" spans="1:18" ht="22" customHeight="1">
      <c r="A3" s="11" t="s">
        <v>73</v>
      </c>
      <c r="B3" s="11" t="s">
        <v>2</v>
      </c>
      <c r="C3" s="12" t="s">
        <v>74</v>
      </c>
      <c r="D3" s="12" t="s">
        <v>18</v>
      </c>
      <c r="E3" s="13">
        <v>40</v>
      </c>
      <c r="F3" s="12" t="s">
        <v>75</v>
      </c>
      <c r="G3" s="14">
        <v>3350</v>
      </c>
      <c r="H3" s="14">
        <v>4120</v>
      </c>
      <c r="I3" s="15">
        <f>E3*G3</f>
        <v>0</v>
      </c>
      <c r="J3" s="15">
        <f>E3*H3</f>
        <v>0</v>
      </c>
      <c r="K3" s="16">
        <f>J3-I3</f>
        <v>0</v>
      </c>
      <c r="L3" s="17">
        <f>K3/I3</f>
        <v>0</v>
      </c>
      <c r="M3" s="16">
        <v>1680</v>
      </c>
      <c r="N3" s="17">
        <v>0.0103</v>
      </c>
      <c r="O3" s="17">
        <v>0.0195</v>
      </c>
      <c r="P3" s="14">
        <f>J3*O3</f>
        <v>0</v>
      </c>
      <c r="Q3" s="12" t="s">
        <v>76</v>
      </c>
      <c r="R3" s="12" t="s">
        <v>77</v>
      </c>
    </row>
    <row r="4" spans="1:18" ht="22" customHeight="1">
      <c r="A4" s="11" t="s">
        <v>78</v>
      </c>
      <c r="B4" s="11" t="s">
        <v>19</v>
      </c>
      <c r="C4" s="12" t="s">
        <v>79</v>
      </c>
      <c r="D4" s="12" t="s">
        <v>18</v>
      </c>
      <c r="E4" s="13">
        <v>120</v>
      </c>
      <c r="F4" s="12" t="s">
        <v>80</v>
      </c>
      <c r="G4" s="14">
        <v>1420</v>
      </c>
      <c r="H4" s="14">
        <v>1865</v>
      </c>
      <c r="I4" s="15">
        <f>E4*G4</f>
        <v>0</v>
      </c>
      <c r="J4" s="15">
        <f>E4*H4</f>
        <v>0</v>
      </c>
      <c r="K4" s="16">
        <f>J4-I4</f>
        <v>0</v>
      </c>
      <c r="L4" s="17">
        <f>K4/I4</f>
        <v>0</v>
      </c>
      <c r="M4" s="16">
        <v>2280</v>
      </c>
      <c r="N4" s="17">
        <v>0.0103</v>
      </c>
      <c r="O4" s="17">
        <v>0.024</v>
      </c>
      <c r="P4" s="14">
        <f>J4*O4</f>
        <v>0</v>
      </c>
      <c r="Q4" s="12" t="s">
        <v>81</v>
      </c>
      <c r="R4" s="12" t="s">
        <v>82</v>
      </c>
    </row>
    <row r="5" spans="1:18" ht="22" customHeight="1">
      <c r="A5" s="11" t="s">
        <v>83</v>
      </c>
      <c r="B5" s="11" t="s">
        <v>20</v>
      </c>
      <c r="C5" s="12" t="s">
        <v>84</v>
      </c>
      <c r="D5" s="12" t="s">
        <v>18</v>
      </c>
      <c r="E5" s="13">
        <v>250</v>
      </c>
      <c r="F5" s="12" t="s">
        <v>85</v>
      </c>
      <c r="G5" s="14">
        <v>410</v>
      </c>
      <c r="H5" s="14">
        <v>545</v>
      </c>
      <c r="I5" s="15">
        <f>E5*G5</f>
        <v>0</v>
      </c>
      <c r="J5" s="15">
        <f>E5*H5</f>
        <v>0</v>
      </c>
      <c r="K5" s="16">
        <f>J5-I5</f>
        <v>0</v>
      </c>
      <c r="L5" s="17">
        <f>K5/I5</f>
        <v>0</v>
      </c>
      <c r="M5" s="16">
        <v>-875</v>
      </c>
      <c r="N5" s="17">
        <v>-0.0064</v>
      </c>
      <c r="O5" s="17">
        <v>0.011</v>
      </c>
      <c r="P5" s="14">
        <f>J5*O5</f>
        <v>0</v>
      </c>
      <c r="Q5" s="12" t="s">
        <v>86</v>
      </c>
      <c r="R5" s="12" t="s">
        <v>87</v>
      </c>
    </row>
    <row r="6" spans="1:18" ht="22" customHeight="1">
      <c r="A6" s="11" t="s">
        <v>88</v>
      </c>
      <c r="B6" s="11" t="s">
        <v>21</v>
      </c>
      <c r="C6" s="12" t="s">
        <v>89</v>
      </c>
      <c r="D6" s="12" t="s">
        <v>18</v>
      </c>
      <c r="E6" s="13">
        <v>80</v>
      </c>
      <c r="F6" s="12" t="s">
        <v>90</v>
      </c>
      <c r="G6" s="14">
        <v>1180</v>
      </c>
      <c r="H6" s="14">
        <v>1640</v>
      </c>
      <c r="I6" s="15">
        <f>E6*G6</f>
        <v>0</v>
      </c>
      <c r="J6" s="15">
        <f>E6*H6</f>
        <v>0</v>
      </c>
      <c r="K6" s="16">
        <f>J6-I6</f>
        <v>0</v>
      </c>
      <c r="L6" s="17">
        <f>K6/I6</f>
        <v>0</v>
      </c>
      <c r="M6" s="16">
        <v>1280</v>
      </c>
      <c r="N6" s="17">
        <v>0.0098</v>
      </c>
      <c r="O6" s="17">
        <v>0.0275</v>
      </c>
      <c r="P6" s="14">
        <f>J6*O6</f>
        <v>0</v>
      </c>
      <c r="Q6" s="12" t="s">
        <v>91</v>
      </c>
      <c r="R6" s="12" t="s">
        <v>92</v>
      </c>
    </row>
    <row r="7" spans="1:18" ht="22" customHeight="1">
      <c r="A7" s="11" t="s">
        <v>93</v>
      </c>
      <c r="B7" s="11" t="s">
        <v>22</v>
      </c>
      <c r="C7" s="12" t="s">
        <v>94</v>
      </c>
      <c r="D7" s="12" t="s">
        <v>23</v>
      </c>
      <c r="E7" s="13">
        <v>100</v>
      </c>
      <c r="F7" s="12" t="s">
        <v>95</v>
      </c>
      <c r="G7" s="14">
        <v>1490</v>
      </c>
      <c r="H7" s="14">
        <v>1680</v>
      </c>
      <c r="I7" s="15">
        <f>E7*G7</f>
        <v>0</v>
      </c>
      <c r="J7" s="15">
        <f>E7*H7</f>
        <v>0</v>
      </c>
      <c r="K7" s="16">
        <f>J7-I7</f>
        <v>0</v>
      </c>
      <c r="L7" s="17">
        <f>K7/I7</f>
        <v>0</v>
      </c>
      <c r="M7" s="16">
        <v>1400</v>
      </c>
      <c r="N7" s="17">
        <v>0.008399999999999999</v>
      </c>
      <c r="O7" s="17">
        <v>0.0125</v>
      </c>
      <c r="P7" s="14">
        <f>J7*O7</f>
        <v>0</v>
      </c>
      <c r="Q7" s="12" t="s">
        <v>96</v>
      </c>
      <c r="R7" s="12" t="s">
        <v>72</v>
      </c>
    </row>
    <row r="8" spans="1:18" ht="22" customHeight="1">
      <c r="A8" s="11" t="s">
        <v>97</v>
      </c>
      <c r="B8" s="11" t="s">
        <v>24</v>
      </c>
      <c r="C8" s="12" t="s">
        <v>98</v>
      </c>
      <c r="D8" s="12" t="s">
        <v>23</v>
      </c>
      <c r="E8" s="13">
        <v>90</v>
      </c>
      <c r="F8" s="12" t="s">
        <v>99</v>
      </c>
      <c r="G8" s="14">
        <v>960</v>
      </c>
      <c r="H8" s="14">
        <v>1265</v>
      </c>
      <c r="I8" s="15">
        <f>E8*G8</f>
        <v>0</v>
      </c>
      <c r="J8" s="15">
        <f>E8*H8</f>
        <v>0</v>
      </c>
      <c r="K8" s="16">
        <f>J8-I8</f>
        <v>0</v>
      </c>
      <c r="L8" s="17">
        <f>K8/I8</f>
        <v>0</v>
      </c>
      <c r="M8" s="16">
        <v>810</v>
      </c>
      <c r="N8" s="17">
        <v>0.0071</v>
      </c>
      <c r="O8" s="17">
        <v>0.008999999999999999</v>
      </c>
      <c r="P8" s="14">
        <f>J8*O8</f>
        <v>0</v>
      </c>
      <c r="Q8" s="12" t="s">
        <v>100</v>
      </c>
      <c r="R8" s="12" t="s">
        <v>101</v>
      </c>
    </row>
    <row r="9" spans="1:18" ht="22" customHeight="1">
      <c r="A9" s="11" t="s">
        <v>102</v>
      </c>
      <c r="B9" s="11" t="s">
        <v>25</v>
      </c>
      <c r="C9" s="12" t="s">
        <v>103</v>
      </c>
      <c r="D9" s="12" t="s">
        <v>26</v>
      </c>
      <c r="E9" s="13">
        <v>300</v>
      </c>
      <c r="F9" s="12" t="s">
        <v>104</v>
      </c>
      <c r="G9" s="14">
        <v>280</v>
      </c>
      <c r="H9" s="14">
        <v>495</v>
      </c>
      <c r="I9" s="15">
        <f>E9*G9</f>
        <v>0</v>
      </c>
      <c r="J9" s="15">
        <f>E9*H9</f>
        <v>0</v>
      </c>
      <c r="K9" s="16">
        <f>J9-I9</f>
        <v>0</v>
      </c>
      <c r="L9" s="17">
        <f>K9/I9</f>
        <v>0</v>
      </c>
      <c r="M9" s="16">
        <v>1650</v>
      </c>
      <c r="N9" s="17">
        <v>0.0112</v>
      </c>
      <c r="O9" s="17">
        <v>0.052</v>
      </c>
      <c r="P9" s="14">
        <f>J9*O9</f>
        <v>0</v>
      </c>
      <c r="Q9" s="12" t="s">
        <v>105</v>
      </c>
      <c r="R9" s="12" t="s">
        <v>106</v>
      </c>
    </row>
    <row r="10" spans="1:18" ht="22" customHeight="1">
      <c r="A10" s="11" t="s">
        <v>107</v>
      </c>
      <c r="B10" s="11" t="s">
        <v>27</v>
      </c>
      <c r="C10" s="12" t="s">
        <v>108</v>
      </c>
      <c r="D10" s="12" t="s">
        <v>28</v>
      </c>
      <c r="E10" s="13">
        <v>350</v>
      </c>
      <c r="F10" s="12" t="s">
        <v>109</v>
      </c>
      <c r="G10" s="14">
        <v>175</v>
      </c>
      <c r="H10" s="14">
        <v>565</v>
      </c>
      <c r="I10" s="15">
        <f>E10*G10</f>
        <v>0</v>
      </c>
      <c r="J10" s="15">
        <f>E10*H10</f>
        <v>0</v>
      </c>
      <c r="K10" s="16">
        <f>J10-I10</f>
        <v>0</v>
      </c>
      <c r="L10" s="17">
        <f>K10/I10</f>
        <v>0</v>
      </c>
      <c r="M10" s="16">
        <v>4725</v>
      </c>
      <c r="N10" s="17">
        <v>0.0245</v>
      </c>
      <c r="O10" s="17">
        <v>0.0075</v>
      </c>
      <c r="P10" s="14">
        <f>J10*O10</f>
        <v>0</v>
      </c>
      <c r="Q10" s="12" t="s">
        <v>110</v>
      </c>
      <c r="R10" s="12" t="s">
        <v>111</v>
      </c>
    </row>
    <row r="11" spans="1:18" ht="22" customHeight="1">
      <c r="A11" s="11" t="s">
        <v>112</v>
      </c>
      <c r="B11" s="11" t="s">
        <v>29</v>
      </c>
      <c r="C11" s="12" t="s">
        <v>113</v>
      </c>
      <c r="D11" s="12" t="s">
        <v>28</v>
      </c>
      <c r="E11" s="13">
        <v>800</v>
      </c>
      <c r="F11" s="12" t="s">
        <v>114</v>
      </c>
      <c r="G11" s="14">
        <v>75</v>
      </c>
      <c r="H11" s="14">
        <v>185</v>
      </c>
      <c r="I11" s="15">
        <f>E11*G11</f>
        <v>0</v>
      </c>
      <c r="J11" s="15">
        <f>E11*H11</f>
        <v>0</v>
      </c>
      <c r="K11" s="16">
        <f>J11-I11</f>
        <v>0</v>
      </c>
      <c r="L11" s="17">
        <f>K11/I11</f>
        <v>0</v>
      </c>
      <c r="M11" s="16">
        <v>2400</v>
      </c>
      <c r="N11" s="17">
        <v>0.0164</v>
      </c>
      <c r="O11" s="17">
        <v>0.018</v>
      </c>
      <c r="P11" s="14">
        <f>J11*O11</f>
        <v>0</v>
      </c>
      <c r="Q11" s="12" t="s">
        <v>115</v>
      </c>
      <c r="R11" s="12" t="s">
        <v>116</v>
      </c>
    </row>
    <row r="12" spans="1:18" ht="22" customHeight="1">
      <c r="A12" s="11" t="s">
        <v>117</v>
      </c>
      <c r="B12" s="11" t="s">
        <v>30</v>
      </c>
      <c r="C12" s="12" t="s">
        <v>118</v>
      </c>
      <c r="D12" s="12" t="s">
        <v>31</v>
      </c>
      <c r="E12" s="13">
        <v>400</v>
      </c>
      <c r="F12" s="12" t="s">
        <v>119</v>
      </c>
      <c r="G12" s="14">
        <v>195</v>
      </c>
      <c r="H12" s="14">
        <v>405</v>
      </c>
      <c r="I12" s="15">
        <f>E12*G12</f>
        <v>0</v>
      </c>
      <c r="J12" s="15">
        <f>E12*H12</f>
        <v>0</v>
      </c>
      <c r="K12" s="16">
        <f>J12-I12</f>
        <v>0</v>
      </c>
      <c r="L12" s="17">
        <f>K12/I12</f>
        <v>0</v>
      </c>
      <c r="M12" s="16">
        <v>1200</v>
      </c>
      <c r="N12" s="17">
        <v>0.0075</v>
      </c>
      <c r="O12" s="17">
        <v>0.006</v>
      </c>
      <c r="P12" s="14">
        <f>J12*O12</f>
        <v>0</v>
      </c>
      <c r="Q12" s="12" t="s">
        <v>120</v>
      </c>
      <c r="R12" s="12" t="s">
        <v>121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2"/>
  <sheetViews>
    <sheetView workbookViewId="0"/>
  </sheetViews>
  <sheetFormatPr defaultRowHeight="15"/>
  <cols>
    <col min="1" max="2" width="26.7109375" customWidth="1"/>
    <col min="3" max="14" width="18.7109375" customWidth="1"/>
  </cols>
  <sheetData>
    <row r="1" spans="1:14" ht="24" customHeight="1">
      <c r="A1" s="8" t="s">
        <v>52</v>
      </c>
      <c r="B1" s="8" t="s">
        <v>122</v>
      </c>
      <c r="C1" s="9" t="s">
        <v>123</v>
      </c>
      <c r="D1" s="9" t="s">
        <v>124</v>
      </c>
      <c r="E1" s="9" t="s">
        <v>125</v>
      </c>
      <c r="F1" s="9" t="s">
        <v>126</v>
      </c>
      <c r="G1" s="9" t="s">
        <v>127</v>
      </c>
      <c r="H1" s="9" t="s">
        <v>128</v>
      </c>
      <c r="I1" s="9" t="s">
        <v>129</v>
      </c>
      <c r="J1" s="9" t="s">
        <v>130</v>
      </c>
      <c r="K1" s="9" t="s">
        <v>131</v>
      </c>
      <c r="L1" s="9" t="s">
        <v>132</v>
      </c>
      <c r="M1" s="9" t="s">
        <v>133</v>
      </c>
      <c r="N1" s="9" t="s">
        <v>134</v>
      </c>
    </row>
    <row r="2" spans="1:14" ht="20" customHeight="1">
      <c r="A2" s="11" t="s">
        <v>17</v>
      </c>
      <c r="B2" s="12" t="s">
        <v>18</v>
      </c>
      <c r="C2" s="14">
        <v>1180</v>
      </c>
      <c r="D2" s="14">
        <v>1220.5</v>
      </c>
      <c r="E2" s="14">
        <v>1265</v>
      </c>
      <c r="F2" s="14">
        <v>1310</v>
      </c>
      <c r="G2" s="14">
        <v>1420</v>
      </c>
      <c r="H2" s="14">
        <v>1485</v>
      </c>
      <c r="I2" s="14">
        <v>1540</v>
      </c>
      <c r="J2" s="14">
        <v>1610</v>
      </c>
      <c r="K2" s="14">
        <v>1660</v>
      </c>
      <c r="L2" s="14">
        <v>1715</v>
      </c>
      <c r="M2" s="14">
        <v>1730</v>
      </c>
      <c r="N2" s="14">
        <v>1745.5</v>
      </c>
    </row>
    <row r="3" spans="1:14" ht="20" customHeight="1">
      <c r="A3" s="11" t="s">
        <v>2</v>
      </c>
      <c r="B3" s="12" t="s">
        <v>18</v>
      </c>
      <c r="C3" s="14">
        <v>3400</v>
      </c>
      <c r="D3" s="14">
        <v>3480</v>
      </c>
      <c r="E3" s="14">
        <v>3550</v>
      </c>
      <c r="F3" s="14">
        <v>3620</v>
      </c>
      <c r="G3" s="14">
        <v>3750</v>
      </c>
      <c r="H3" s="14">
        <v>3890</v>
      </c>
      <c r="I3" s="14">
        <v>3980</v>
      </c>
      <c r="J3" s="14">
        <v>4050</v>
      </c>
      <c r="K3" s="14">
        <v>4180</v>
      </c>
      <c r="L3" s="14">
        <v>4220</v>
      </c>
      <c r="M3" s="14">
        <v>4160</v>
      </c>
      <c r="N3" s="14">
        <v>4120</v>
      </c>
    </row>
    <row r="4" spans="1:14" ht="20" customHeight="1">
      <c r="A4" s="11" t="s">
        <v>19</v>
      </c>
      <c r="B4" s="12" t="s">
        <v>18</v>
      </c>
      <c r="C4" s="14">
        <v>1410</v>
      </c>
      <c r="D4" s="14">
        <v>1460</v>
      </c>
      <c r="E4" s="14">
        <v>1510</v>
      </c>
      <c r="F4" s="14">
        <v>1580</v>
      </c>
      <c r="G4" s="14">
        <v>1640</v>
      </c>
      <c r="H4" s="14">
        <v>1690</v>
      </c>
      <c r="I4" s="14">
        <v>1750</v>
      </c>
      <c r="J4" s="14">
        <v>1795</v>
      </c>
      <c r="K4" s="14">
        <v>1840</v>
      </c>
      <c r="L4" s="14">
        <v>1880</v>
      </c>
      <c r="M4" s="14">
        <v>1850</v>
      </c>
      <c r="N4" s="14">
        <v>1865</v>
      </c>
    </row>
    <row r="5" spans="1:14" ht="20" customHeight="1">
      <c r="A5" s="11" t="s">
        <v>20</v>
      </c>
      <c r="B5" s="12" t="s">
        <v>18</v>
      </c>
      <c r="C5" s="14">
        <v>405</v>
      </c>
      <c r="D5" s="14">
        <v>420</v>
      </c>
      <c r="E5" s="14">
        <v>435</v>
      </c>
      <c r="F5" s="14">
        <v>450</v>
      </c>
      <c r="G5" s="14">
        <v>470</v>
      </c>
      <c r="H5" s="14">
        <v>495</v>
      </c>
      <c r="I5" s="14">
        <v>510</v>
      </c>
      <c r="J5" s="14">
        <v>525</v>
      </c>
      <c r="K5" s="14">
        <v>538</v>
      </c>
      <c r="L5" s="14">
        <v>555</v>
      </c>
      <c r="M5" s="14">
        <v>548</v>
      </c>
      <c r="N5" s="14">
        <v>545</v>
      </c>
    </row>
    <row r="6" spans="1:14" ht="20" customHeight="1">
      <c r="A6" s="11" t="s">
        <v>21</v>
      </c>
      <c r="B6" s="12" t="s">
        <v>18</v>
      </c>
      <c r="C6" s="14">
        <v>1150</v>
      </c>
      <c r="D6" s="14">
        <v>1200</v>
      </c>
      <c r="E6" s="14">
        <v>1260</v>
      </c>
      <c r="F6" s="14">
        <v>1310</v>
      </c>
      <c r="G6" s="14">
        <v>1390</v>
      </c>
      <c r="H6" s="14">
        <v>1450</v>
      </c>
      <c r="I6" s="14">
        <v>1510</v>
      </c>
      <c r="J6" s="14">
        <v>1580</v>
      </c>
      <c r="K6" s="14">
        <v>1620</v>
      </c>
      <c r="L6" s="14">
        <v>1660</v>
      </c>
      <c r="M6" s="14">
        <v>1650</v>
      </c>
      <c r="N6" s="14">
        <v>1640</v>
      </c>
    </row>
    <row r="7" spans="1:14" ht="20" customHeight="1">
      <c r="A7" s="11" t="s">
        <v>22</v>
      </c>
      <c r="B7" s="12" t="s">
        <v>23</v>
      </c>
      <c r="C7" s="14">
        <v>1520</v>
      </c>
      <c r="D7" s="14">
        <v>1480</v>
      </c>
      <c r="E7" s="14">
        <v>1450</v>
      </c>
      <c r="F7" s="14">
        <v>1490</v>
      </c>
      <c r="G7" s="14">
        <v>1530</v>
      </c>
      <c r="H7" s="14">
        <v>1560</v>
      </c>
      <c r="I7" s="14">
        <v>1610</v>
      </c>
      <c r="J7" s="14">
        <v>1640</v>
      </c>
      <c r="K7" s="14">
        <v>1670</v>
      </c>
      <c r="L7" s="14">
        <v>1690</v>
      </c>
      <c r="M7" s="14">
        <v>1665</v>
      </c>
      <c r="N7" s="14">
        <v>1680</v>
      </c>
    </row>
    <row r="8" spans="1:14" ht="20" customHeight="1">
      <c r="A8" s="11" t="s">
        <v>24</v>
      </c>
      <c r="B8" s="12" t="s">
        <v>23</v>
      </c>
      <c r="C8" s="14">
        <v>980</v>
      </c>
      <c r="D8" s="14">
        <v>1020</v>
      </c>
      <c r="E8" s="14">
        <v>1060</v>
      </c>
      <c r="F8" s="14">
        <v>1110</v>
      </c>
      <c r="G8" s="14">
        <v>1150</v>
      </c>
      <c r="H8" s="14">
        <v>1190</v>
      </c>
      <c r="I8" s="14">
        <v>1225</v>
      </c>
      <c r="J8" s="14">
        <v>1250</v>
      </c>
      <c r="K8" s="14">
        <v>1270</v>
      </c>
      <c r="L8" s="14">
        <v>1295</v>
      </c>
      <c r="M8" s="14">
        <v>1280</v>
      </c>
      <c r="N8" s="14">
        <v>1265</v>
      </c>
    </row>
    <row r="9" spans="1:14" ht="20" customHeight="1">
      <c r="A9" s="11" t="s">
        <v>25</v>
      </c>
      <c r="B9" s="12" t="s">
        <v>26</v>
      </c>
      <c r="C9" s="14">
        <v>290</v>
      </c>
      <c r="D9" s="14">
        <v>320</v>
      </c>
      <c r="E9" s="14">
        <v>350</v>
      </c>
      <c r="F9" s="14">
        <v>390</v>
      </c>
      <c r="G9" s="14">
        <v>420</v>
      </c>
      <c r="H9" s="14">
        <v>445</v>
      </c>
      <c r="I9" s="14">
        <v>470</v>
      </c>
      <c r="J9" s="14">
        <v>485</v>
      </c>
      <c r="K9" s="14">
        <v>510</v>
      </c>
      <c r="L9" s="14">
        <v>525</v>
      </c>
      <c r="M9" s="14">
        <v>505</v>
      </c>
      <c r="N9" s="14">
        <v>495</v>
      </c>
    </row>
    <row r="10" spans="1:14" ht="20" customHeight="1">
      <c r="A10" s="11" t="s">
        <v>27</v>
      </c>
      <c r="B10" s="12" t="s">
        <v>28</v>
      </c>
      <c r="C10" s="14">
        <v>180</v>
      </c>
      <c r="D10" s="14">
        <v>210</v>
      </c>
      <c r="E10" s="14">
        <v>250</v>
      </c>
      <c r="F10" s="14">
        <v>290</v>
      </c>
      <c r="G10" s="14">
        <v>340</v>
      </c>
      <c r="H10" s="14">
        <v>390</v>
      </c>
      <c r="I10" s="14">
        <v>440</v>
      </c>
      <c r="J10" s="14">
        <v>490</v>
      </c>
      <c r="K10" s="14">
        <v>540</v>
      </c>
      <c r="L10" s="14">
        <v>590</v>
      </c>
      <c r="M10" s="14">
        <v>575</v>
      </c>
      <c r="N10" s="14">
        <v>565</v>
      </c>
    </row>
    <row r="11" spans="1:14" ht="20" customHeight="1">
      <c r="A11" s="11" t="s">
        <v>29</v>
      </c>
      <c r="B11" s="12" t="s">
        <v>28</v>
      </c>
      <c r="C11" s="14">
        <v>78</v>
      </c>
      <c r="D11" s="14">
        <v>92</v>
      </c>
      <c r="E11" s="14">
        <v>110</v>
      </c>
      <c r="F11" s="14">
        <v>130</v>
      </c>
      <c r="G11" s="14">
        <v>145</v>
      </c>
      <c r="H11" s="14">
        <v>160</v>
      </c>
      <c r="I11" s="14">
        <v>172</v>
      </c>
      <c r="J11" s="14">
        <v>185</v>
      </c>
      <c r="K11" s="14">
        <v>198</v>
      </c>
      <c r="L11" s="14">
        <v>205</v>
      </c>
      <c r="M11" s="14">
        <v>190</v>
      </c>
      <c r="N11" s="14">
        <v>185</v>
      </c>
    </row>
    <row r="12" spans="1:14" ht="20" customHeight="1">
      <c r="A12" s="11" t="s">
        <v>30</v>
      </c>
      <c r="B12" s="12" t="s">
        <v>31</v>
      </c>
      <c r="C12" s="14">
        <v>200</v>
      </c>
      <c r="D12" s="14">
        <v>220</v>
      </c>
      <c r="E12" s="14">
        <v>245</v>
      </c>
      <c r="F12" s="14">
        <v>275</v>
      </c>
      <c r="G12" s="14">
        <v>310</v>
      </c>
      <c r="H12" s="14">
        <v>340</v>
      </c>
      <c r="I12" s="14">
        <v>365</v>
      </c>
      <c r="J12" s="14">
        <v>385</v>
      </c>
      <c r="K12" s="14">
        <v>410</v>
      </c>
      <c r="L12" s="14">
        <v>425</v>
      </c>
      <c r="M12" s="14">
        <v>415</v>
      </c>
      <c r="N12" s="14">
        <v>405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2"/>
  <sheetViews>
    <sheetView workbookViewId="0"/>
  </sheetViews>
  <sheetFormatPr defaultRowHeight="15"/>
  <cols>
    <col min="1" max="1" width="26.7109375" customWidth="1"/>
    <col min="2" max="13" width="18.7109375" customWidth="1"/>
  </cols>
  <sheetData>
    <row r="1" spans="1:13">
      <c r="A1" s="8" t="s">
        <v>135</v>
      </c>
      <c r="B1" s="10" t="s">
        <v>136</v>
      </c>
      <c r="C1" s="10" t="s">
        <v>137</v>
      </c>
      <c r="D1" s="10" t="s">
        <v>138</v>
      </c>
      <c r="E1" s="10" t="s">
        <v>139</v>
      </c>
      <c r="F1" s="10" t="s">
        <v>140</v>
      </c>
      <c r="G1" s="10" t="s">
        <v>141</v>
      </c>
      <c r="H1" s="10" t="s">
        <v>142</v>
      </c>
      <c r="I1" s="10" t="s">
        <v>143</v>
      </c>
      <c r="J1" s="10" t="s">
        <v>144</v>
      </c>
      <c r="K1" s="10" t="s">
        <v>145</v>
      </c>
      <c r="L1" s="10" t="s">
        <v>146</v>
      </c>
      <c r="M1" s="10" t="s">
        <v>147</v>
      </c>
    </row>
    <row r="2" spans="1:13">
      <c r="A2" s="11" t="s">
        <v>148</v>
      </c>
      <c r="B2" s="14" cm="1">
        <f t="array" ref="B2">IF(Dashboard!$C$3="ALL PORTFOLIO (MASTER VIEW)", AVERAGE(Historical_12M!C$2:C$12), _xlfn.XLOOKUP(Dashboard!$C$3, Historical_12M!$A$2:$A$12, Historical_12M!C$2:C$12))</f>
        <v>0</v>
      </c>
      <c r="C2" s="14" cm="1">
        <f t="array" ref="C2">IF(Dashboard!$C$3="ALL PORTFOLIO (MASTER VIEW)", AVERAGE(Historical_12M!D$2:D$12), _xlfn.XLOOKUP(Dashboard!$C$3, Historical_12M!$A$2:$A$12, Historical_12M!D$2:D$12))</f>
        <v>0</v>
      </c>
      <c r="D2" s="14" cm="1">
        <f t="array" ref="D2">IF(Dashboard!$C$3="ALL PORTFOLIO (MASTER VIEW)", AVERAGE(Historical_12M!E$2:E$12), _xlfn.XLOOKUP(Dashboard!$C$3, Historical_12M!$A$2:$A$12, Historical_12M!E$2:E$12))</f>
        <v>0</v>
      </c>
      <c r="E2" s="14" cm="1">
        <f t="array" ref="E2">IF(Dashboard!$C$3="ALL PORTFOLIO (MASTER VIEW)", AVERAGE(Historical_12M!F$2:F$12), _xlfn.XLOOKUP(Dashboard!$C$3, Historical_12M!$A$2:$A$12, Historical_12M!F$2:F$12))</f>
        <v>0</v>
      </c>
      <c r="F2" s="14" cm="1">
        <f t="array" ref="F2">IF(Dashboard!$C$3="ALL PORTFOLIO (MASTER VIEW)", AVERAGE(Historical_12M!G$2:G$12), _xlfn.XLOOKUP(Dashboard!$C$3, Historical_12M!$A$2:$A$12, Historical_12M!G$2:G$12))</f>
        <v>0</v>
      </c>
      <c r="G2" s="14" cm="1">
        <f t="array" ref="G2">IF(Dashboard!$C$3="ALL PORTFOLIO (MASTER VIEW)", AVERAGE(Historical_12M!H$2:H$12), _xlfn.XLOOKUP(Dashboard!$C$3, Historical_12M!$A$2:$A$12, Historical_12M!H$2:H$12))</f>
        <v>0</v>
      </c>
      <c r="H2" s="14" cm="1">
        <f t="array" ref="H2">IF(Dashboard!$C$3="ALL PORTFOLIO (MASTER VIEW)", AVERAGE(Historical_12M!I$2:I$12), _xlfn.XLOOKUP(Dashboard!$C$3, Historical_12M!$A$2:$A$12, Historical_12M!I$2:I$12))</f>
        <v>0</v>
      </c>
      <c r="I2" s="14" cm="1">
        <f t="array" ref="I2">IF(Dashboard!$C$3="ALL PORTFOLIO (MASTER VIEW)", AVERAGE(Historical_12M!J$2:J$12), _xlfn.XLOOKUP(Dashboard!$C$3, Historical_12M!$A$2:$A$12, Historical_12M!J$2:J$12))</f>
        <v>0</v>
      </c>
      <c r="J2" s="14" cm="1">
        <f t="array" ref="J2">IF(Dashboard!$C$3="ALL PORTFOLIO (MASTER VIEW)", AVERAGE(Historical_12M!K$2:K$12), _xlfn.XLOOKUP(Dashboard!$C$3, Historical_12M!$A$2:$A$12, Historical_12M!K$2:K$12))</f>
        <v>0</v>
      </c>
      <c r="K2" s="14" cm="1">
        <f t="array" ref="K2">IF(Dashboard!$C$3="ALL PORTFOLIO (MASTER VIEW)", AVERAGE(Historical_12M!L$2:L$12), _xlfn.XLOOKUP(Dashboard!$C$3, Historical_12M!$A$2:$A$12, Historical_12M!L$2:L$12))</f>
        <v>0</v>
      </c>
      <c r="L2" s="14" cm="1">
        <f t="array" ref="L2">IF(Dashboard!$C$3="ALL PORTFOLIO (MASTER VIEW)", AVERAGE(Historical_12M!M$2:M$12), _xlfn.XLOOKUP(Dashboard!$C$3, Historical_12M!$A$2:$A$12, Historical_12M!M$2:M$12))</f>
        <v>0</v>
      </c>
      <c r="M2" s="14" cm="1">
        <f t="array" ref="M2">IF(Dashboard!$C$3="ALL PORTFOLIO (MASTER VIEW)", AVERAGE(Historical_12M!N$2:N$12), _xlfn.XLOOKUP(Dashboard!$C$3, Historical_12M!$A$2:$A$12, Historical_12M!N$2:N$12))</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6"/>
  <sheetViews>
    <sheetView workbookViewId="0"/>
  </sheetViews>
  <sheetFormatPr defaultRowHeight="15"/>
  <cols>
    <col min="1" max="1" width="30.7109375" customWidth="1"/>
    <col min="2" max="5" width="24.7109375" customWidth="1"/>
  </cols>
  <sheetData>
    <row r="1" spans="1:5" ht="24" customHeight="1">
      <c r="A1" s="8" t="s">
        <v>149</v>
      </c>
      <c r="B1" s="9" t="s">
        <v>150</v>
      </c>
      <c r="C1" s="9" t="s">
        <v>151</v>
      </c>
      <c r="D1" s="9" t="s">
        <v>152</v>
      </c>
      <c r="E1" s="9" t="s">
        <v>153</v>
      </c>
    </row>
    <row r="2" spans="1:5" ht="22" customHeight="1">
      <c r="A2" s="12" t="s">
        <v>18</v>
      </c>
      <c r="B2" s="15">
        <f>SUMIF(Holdings_Data!$D$2:$D$12, A2, Holdings_Data!$J$2:$J$12)</f>
        <v>0</v>
      </c>
      <c r="C2" s="17">
        <f>B2/Dashboard!$F$17</f>
        <v>0</v>
      </c>
      <c r="D2" s="16">
        <f>SUMIF(Holdings_Data!$D$2:$D$12, A2, Holdings_Data!$K$2:$K$12)</f>
        <v>0</v>
      </c>
      <c r="E2" s="13">
        <f>COUNTIF(Holdings_Data!$D$2:$D$12, A2)</f>
        <v>0</v>
      </c>
    </row>
    <row r="3" spans="1:5" ht="22" customHeight="1">
      <c r="A3" s="12" t="s">
        <v>23</v>
      </c>
      <c r="B3" s="15">
        <f>SUMIF(Holdings_Data!$D$2:$D$12, A3, Holdings_Data!$J$2:$J$12)</f>
        <v>0</v>
      </c>
      <c r="C3" s="17">
        <f>B3/Dashboard!$F$17</f>
        <v>0</v>
      </c>
      <c r="D3" s="16">
        <f>SUMIF(Holdings_Data!$D$2:$D$12, A3, Holdings_Data!$K$2:$K$12)</f>
        <v>0</v>
      </c>
      <c r="E3" s="13">
        <f>COUNTIF(Holdings_Data!$D$2:$D$12, A3)</f>
        <v>0</v>
      </c>
    </row>
    <row r="4" spans="1:5" ht="22" customHeight="1">
      <c r="A4" s="12" t="s">
        <v>26</v>
      </c>
      <c r="B4" s="15">
        <f>SUMIF(Holdings_Data!$D$2:$D$12, A4, Holdings_Data!$J$2:$J$12)</f>
        <v>0</v>
      </c>
      <c r="C4" s="17">
        <f>B4/Dashboard!$F$17</f>
        <v>0</v>
      </c>
      <c r="D4" s="16">
        <f>SUMIF(Holdings_Data!$D$2:$D$12, A4, Holdings_Data!$K$2:$K$12)</f>
        <v>0</v>
      </c>
      <c r="E4" s="13">
        <f>COUNTIF(Holdings_Data!$D$2:$D$12, A4)</f>
        <v>0</v>
      </c>
    </row>
    <row r="5" spans="1:5" ht="22" customHeight="1">
      <c r="A5" s="12" t="s">
        <v>28</v>
      </c>
      <c r="B5" s="15">
        <f>SUMIF(Holdings_Data!$D$2:$D$12, A5, Holdings_Data!$J$2:$J$12)</f>
        <v>0</v>
      </c>
      <c r="C5" s="17">
        <f>B5/Dashboard!$F$17</f>
        <v>0</v>
      </c>
      <c r="D5" s="16">
        <f>SUMIF(Holdings_Data!$D$2:$D$12, A5, Holdings_Data!$K$2:$K$12)</f>
        <v>0</v>
      </c>
      <c r="E5" s="13">
        <f>COUNTIF(Holdings_Data!$D$2:$D$12, A5)</f>
        <v>0</v>
      </c>
    </row>
    <row r="6" spans="1:5" ht="22" customHeight="1">
      <c r="A6" s="12" t="s">
        <v>31</v>
      </c>
      <c r="B6" s="15">
        <f>SUMIF(Holdings_Data!$D$2:$D$12, A6, Holdings_Data!$J$2:$J$12)</f>
        <v>0</v>
      </c>
      <c r="C6" s="17">
        <f>B6/Dashboard!$F$17</f>
        <v>0</v>
      </c>
      <c r="D6" s="16">
        <f>SUMIF(Holdings_Data!$D$2:$D$12, A6, Holdings_Data!$K$2:$K$12)</f>
        <v>0</v>
      </c>
      <c r="E6" s="13">
        <f>COUNTIF(Holdings_Data!$D$2:$D$12, A6)</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B2:D14"/>
  <sheetViews>
    <sheetView workbookViewId="0"/>
  </sheetViews>
  <sheetFormatPr defaultRowHeight="15"/>
  <cols>
    <col min="1" max="1" width="5.7109375" customWidth="1"/>
    <col min="2" max="2" width="40.7109375" customWidth="1"/>
    <col min="3" max="3" width="26.7109375" customWidth="1"/>
    <col min="4" max="4" width="50.7109375" customWidth="1"/>
  </cols>
  <sheetData>
    <row r="2" spans="2:4" ht="28" customHeight="1">
      <c r="B2" s="1" t="s">
        <v>154</v>
      </c>
      <c r="C2" s="1"/>
      <c r="D2" s="1"/>
    </row>
    <row r="3" spans="2:4" ht="22" customHeight="1">
      <c r="B3" s="11" t="s">
        <v>155</v>
      </c>
      <c r="C3" s="38">
        <f>SUM(Holdings_Data!I2:I12)</f>
        <v>0</v>
      </c>
      <c r="D3" s="12" t="s">
        <v>156</v>
      </c>
    </row>
    <row r="4" spans="2:4" ht="22" customHeight="1">
      <c r="B4" s="11" t="s">
        <v>157</v>
      </c>
      <c r="C4" s="38">
        <f>SUM(Holdings_Data!J2:J12)</f>
        <v>0</v>
      </c>
      <c r="D4" s="12" t="s">
        <v>158</v>
      </c>
    </row>
    <row r="5" spans="2:4" ht="22" customHeight="1">
      <c r="B5" s="11" t="s">
        <v>159</v>
      </c>
      <c r="C5" s="38">
        <f>C4-C3</f>
        <v>0</v>
      </c>
      <c r="D5" s="12" t="s">
        <v>160</v>
      </c>
    </row>
    <row r="6" spans="2:4" ht="22" customHeight="1">
      <c r="B6" s="11" t="s">
        <v>161</v>
      </c>
      <c r="C6" s="39">
        <f>C5/C3</f>
        <v>0</v>
      </c>
      <c r="D6" s="12" t="s">
        <v>162</v>
      </c>
    </row>
    <row r="7" spans="2:4" ht="22" customHeight="1">
      <c r="B7" s="11" t="s">
        <v>163</v>
      </c>
      <c r="C7" s="39">
        <v>0.284</v>
      </c>
      <c r="D7" s="12" t="s">
        <v>164</v>
      </c>
    </row>
    <row r="8" spans="2:4" ht="22" customHeight="1">
      <c r="B8" s="11" t="s">
        <v>165</v>
      </c>
      <c r="C8" s="38">
        <f>SUM(Holdings_Data!P2:P12)</f>
        <v>0</v>
      </c>
      <c r="D8" s="12" t="s">
        <v>166</v>
      </c>
    </row>
    <row r="9" spans="2:4" ht="22" customHeight="1">
      <c r="B9" s="11" t="s">
        <v>167</v>
      </c>
      <c r="C9" s="39">
        <f>C8/C4</f>
        <v>0</v>
      </c>
      <c r="D9" s="12" t="s">
        <v>168</v>
      </c>
    </row>
    <row r="10" spans="2:4" ht="22" customHeight="1">
      <c r="B10" s="11" t="s">
        <v>169</v>
      </c>
      <c r="C10" s="40">
        <v>1.04</v>
      </c>
      <c r="D10" s="12" t="s">
        <v>170</v>
      </c>
    </row>
    <row r="11" spans="2:4" ht="22" customHeight="1">
      <c r="B11" s="11" t="s">
        <v>171</v>
      </c>
      <c r="C11" s="40">
        <v>2.12</v>
      </c>
      <c r="D11" s="12" t="s">
        <v>172</v>
      </c>
    </row>
    <row r="12" spans="2:4" ht="22" customHeight="1">
      <c r="B12" s="11" t="s">
        <v>173</v>
      </c>
      <c r="C12" s="41" t="s">
        <v>174</v>
      </c>
      <c r="D12" s="12" t="s">
        <v>175</v>
      </c>
    </row>
    <row r="13" spans="2:4" ht="22" customHeight="1">
      <c r="B13" s="11" t="s">
        <v>176</v>
      </c>
      <c r="C13" s="41" t="s">
        <v>177</v>
      </c>
      <c r="D13" s="12" t="s">
        <v>178</v>
      </c>
    </row>
    <row r="14" spans="2:4" ht="22" customHeight="1">
      <c r="B14" s="11" t="s">
        <v>179</v>
      </c>
      <c r="C14" s="41" t="s">
        <v>180</v>
      </c>
      <c r="D14" s="12" t="s">
        <v>181</v>
      </c>
    </row>
  </sheetData>
  <mergeCells count="1">
    <mergeCell ref="B2:D2"/>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B2:C8"/>
  <sheetViews>
    <sheetView workbookViewId="0"/>
  </sheetViews>
  <sheetFormatPr defaultRowHeight="15"/>
  <cols>
    <col min="1" max="1" width="5.7109375" customWidth="1"/>
    <col min="2" max="2" width="34.7109375" customWidth="1"/>
    <col min="3" max="3" width="75.7109375" customWidth="1"/>
  </cols>
  <sheetData>
    <row r="2" spans="2:3" ht="28" customHeight="1">
      <c r="B2" s="1" t="s">
        <v>182</v>
      </c>
      <c r="C2" s="1"/>
    </row>
    <row r="3" spans="2:3" ht="30" customHeight="1">
      <c r="B3" s="11" t="s">
        <v>183</v>
      </c>
      <c r="C3" s="12" t="s">
        <v>184</v>
      </c>
    </row>
    <row r="4" spans="2:3" ht="30" customHeight="1">
      <c r="B4" s="11" t="s">
        <v>185</v>
      </c>
      <c r="C4" s="12" t="s">
        <v>186</v>
      </c>
    </row>
    <row r="5" spans="2:3" ht="30" customHeight="1">
      <c r="B5" s="11" t="s">
        <v>187</v>
      </c>
      <c r="C5" s="12" t="s">
        <v>188</v>
      </c>
    </row>
    <row r="6" spans="2:3" ht="30" customHeight="1">
      <c r="B6" s="11" t="s">
        <v>189</v>
      </c>
      <c r="C6" s="12" t="s">
        <v>190</v>
      </c>
    </row>
    <row r="7" spans="2:3" ht="30" customHeight="1">
      <c r="B7" s="11" t="s">
        <v>191</v>
      </c>
      <c r="C7" s="12" t="s">
        <v>192</v>
      </c>
    </row>
    <row r="8" spans="2:3" ht="30" customHeight="1">
      <c r="B8" s="11" t="s">
        <v>193</v>
      </c>
      <c r="C8" s="12" t="s">
        <v>194</v>
      </c>
    </row>
  </sheetData>
  <mergeCells count="1">
    <mergeCell ref="B2:C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Holdings_Data</vt:lpstr>
      <vt:lpstr>Historical_12M</vt:lpstr>
      <vt:lpstr>Dynamic_Feed</vt:lpstr>
      <vt:lpstr>Sector_Summary</vt:lpstr>
      <vt:lpstr>Return_Analytics</vt:lpstr>
      <vt:lpstr>User_Guide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2026-09-01T16:59:31Z</dcterms:created>
  <dcterms:modified xsi:type="dcterms:W3CDTF">2026-09-01T16:59:31Z</dcterms:modified>
</cp:coreProperties>
</file>